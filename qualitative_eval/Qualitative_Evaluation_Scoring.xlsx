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https://studentcbs-my.sharepoint.com/personal/maba23aq_student_cbs_dk/Documents/Master's thesis/06_Data/"/>
    </mc:Choice>
  </mc:AlternateContent>
  <xr:revisionPtr revIDLastSave="1738" documentId="13_ncr:1_{ECB838AD-918C-5A47-B80F-0FEBD59DF23F}" xr6:coauthVersionLast="47" xr6:coauthVersionMax="47" xr10:uidLastSave="{1321092F-FF5B-5649-88EF-78E3E122FF76}"/>
  <bookViews>
    <workbookView xWindow="0" yWindow="500" windowWidth="28800" windowHeight="16300" xr2:uid="{BEB9BC9B-7724-D542-BBF2-F4262ED8FB51}"/>
  </bookViews>
  <sheets>
    <sheet name="Final_Scoring" sheetId="7" r:id="rId1"/>
    <sheet name="KORE" sheetId="5" state="hidden" r:id="rId2"/>
    <sheet name="HATI" sheetId="2" state="hidden" r:id="rId3"/>
    <sheet name="MABA" sheetId="4" state="hidden" r:id="rId4"/>
    <sheet name="Raw_Outputs" sheetId="1" r:id="rId5"/>
  </sheets>
  <definedNames>
    <definedName name="_xlnm._FilterDatabase" localSheetId="1" hidden="1">KORE!$A$1:$H$71</definedName>
    <definedName name="_xlnm._FilterDatabase" localSheetId="3" hidden="1">MABA!$A$1:$A$71</definedName>
    <definedName name="_xlnm._FilterDatabase" localSheetId="4" hidden="1">Raw_Outputs!$L$1:$S$1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7" l="1"/>
  <c r="G79" i="7"/>
  <c r="F79" i="7"/>
  <c r="E79" i="7"/>
  <c r="O3" i="7"/>
  <c r="P3" i="7"/>
  <c r="Q3" i="7"/>
  <c r="R3" i="7"/>
  <c r="O4" i="7"/>
  <c r="P4" i="7"/>
  <c r="Q4" i="7"/>
  <c r="R4" i="7"/>
  <c r="O5" i="7"/>
  <c r="P5" i="7"/>
  <c r="Q5" i="7"/>
  <c r="R5" i="7"/>
  <c r="O6" i="7"/>
  <c r="P6" i="7"/>
  <c r="Q6" i="7"/>
  <c r="R6" i="7"/>
  <c r="O7" i="7"/>
  <c r="P7" i="7"/>
  <c r="Q7" i="7"/>
  <c r="R7" i="7"/>
  <c r="O8" i="7"/>
  <c r="P8" i="7"/>
  <c r="Q8" i="7"/>
  <c r="R8" i="7"/>
  <c r="O9" i="7"/>
  <c r="P9" i="7"/>
  <c r="Q9" i="7"/>
  <c r="R9" i="7"/>
  <c r="O10" i="7"/>
  <c r="P10" i="7"/>
  <c r="Q10" i="7"/>
  <c r="R10" i="7"/>
  <c r="O11" i="7"/>
  <c r="P11" i="7"/>
  <c r="Q11" i="7"/>
  <c r="R11" i="7"/>
  <c r="O12" i="7"/>
  <c r="P12" i="7"/>
  <c r="Q12" i="7"/>
  <c r="R12" i="7"/>
  <c r="O13" i="7"/>
  <c r="P13" i="7"/>
  <c r="Q13" i="7"/>
  <c r="R13" i="7"/>
  <c r="O14" i="7"/>
  <c r="P14" i="7"/>
  <c r="Q14" i="7"/>
  <c r="R14" i="7"/>
  <c r="O15" i="7"/>
  <c r="P15" i="7"/>
  <c r="Q15" i="7"/>
  <c r="R15" i="7"/>
  <c r="O16" i="7"/>
  <c r="P16" i="7"/>
  <c r="Q16" i="7"/>
  <c r="R16" i="7"/>
  <c r="O17" i="7"/>
  <c r="P17" i="7"/>
  <c r="Q17" i="7"/>
  <c r="R17" i="7"/>
  <c r="O18" i="7"/>
  <c r="P18" i="7"/>
  <c r="Q18" i="7"/>
  <c r="R18" i="7"/>
  <c r="O19" i="7"/>
  <c r="P19" i="7"/>
  <c r="Q19" i="7"/>
  <c r="R19" i="7"/>
  <c r="O20" i="7"/>
  <c r="P20" i="7"/>
  <c r="Q20" i="7"/>
  <c r="R20" i="7"/>
  <c r="O21" i="7"/>
  <c r="P21" i="7"/>
  <c r="Q21" i="7"/>
  <c r="R21" i="7"/>
  <c r="O22" i="7"/>
  <c r="P22" i="7"/>
  <c r="Q22" i="7"/>
  <c r="R22" i="7"/>
  <c r="O23" i="7"/>
  <c r="P23" i="7"/>
  <c r="Q23" i="7"/>
  <c r="R23" i="7"/>
  <c r="O24" i="7"/>
  <c r="P24" i="7"/>
  <c r="Q24" i="7"/>
  <c r="R24" i="7"/>
  <c r="O25" i="7"/>
  <c r="P25" i="7"/>
  <c r="Q25" i="7"/>
  <c r="R25" i="7"/>
  <c r="O26" i="7"/>
  <c r="P26" i="7"/>
  <c r="Q26" i="7"/>
  <c r="R26" i="7"/>
  <c r="O27" i="7"/>
  <c r="P27" i="7"/>
  <c r="Q27" i="7"/>
  <c r="R27" i="7"/>
  <c r="O28" i="7"/>
  <c r="P28" i="7"/>
  <c r="Q28" i="7"/>
  <c r="R28" i="7"/>
  <c r="O29" i="7"/>
  <c r="P29" i="7"/>
  <c r="Q29" i="7"/>
  <c r="R29" i="7"/>
  <c r="O30" i="7"/>
  <c r="P30" i="7"/>
  <c r="Q30" i="7"/>
  <c r="R30" i="7"/>
  <c r="O31" i="7"/>
  <c r="P31" i="7"/>
  <c r="Q31" i="7"/>
  <c r="R31" i="7"/>
  <c r="O32" i="7"/>
  <c r="P32" i="7"/>
  <c r="Q32" i="7"/>
  <c r="R32" i="7"/>
  <c r="O33" i="7"/>
  <c r="P33" i="7"/>
  <c r="Q33" i="7"/>
  <c r="R33" i="7"/>
  <c r="O34" i="7"/>
  <c r="P34" i="7"/>
  <c r="Q34" i="7"/>
  <c r="R34" i="7"/>
  <c r="O35" i="7"/>
  <c r="P35" i="7"/>
  <c r="Q35" i="7"/>
  <c r="R35" i="7"/>
  <c r="O36" i="7"/>
  <c r="P36" i="7"/>
  <c r="Q36" i="7"/>
  <c r="R36" i="7"/>
  <c r="O37" i="7"/>
  <c r="P37" i="7"/>
  <c r="Q37" i="7"/>
  <c r="R37" i="7"/>
  <c r="O38" i="7"/>
  <c r="P38" i="7"/>
  <c r="Q38" i="7"/>
  <c r="R38" i="7"/>
  <c r="O39" i="7"/>
  <c r="P39" i="7"/>
  <c r="Q39" i="7"/>
  <c r="R39" i="7"/>
  <c r="O40" i="7"/>
  <c r="P40" i="7"/>
  <c r="Q40" i="7"/>
  <c r="R40" i="7"/>
  <c r="O41" i="7"/>
  <c r="P41" i="7"/>
  <c r="Q41" i="7"/>
  <c r="R41" i="7"/>
  <c r="O42" i="7"/>
  <c r="P42" i="7"/>
  <c r="Q42" i="7"/>
  <c r="R42" i="7"/>
  <c r="O43" i="7"/>
  <c r="P43" i="7"/>
  <c r="Q43" i="7"/>
  <c r="R43" i="7"/>
  <c r="O44" i="7"/>
  <c r="P44" i="7"/>
  <c r="Q44" i="7"/>
  <c r="R44" i="7"/>
  <c r="O45" i="7"/>
  <c r="P45" i="7"/>
  <c r="Q45" i="7"/>
  <c r="R45" i="7"/>
  <c r="O46" i="7"/>
  <c r="P46" i="7"/>
  <c r="Q46" i="7"/>
  <c r="R46" i="7"/>
  <c r="O47" i="7"/>
  <c r="P47" i="7"/>
  <c r="Q47" i="7"/>
  <c r="R47" i="7"/>
  <c r="O48" i="7"/>
  <c r="P48" i="7"/>
  <c r="Q48" i="7"/>
  <c r="R48" i="7"/>
  <c r="O49" i="7"/>
  <c r="P49" i="7"/>
  <c r="Q49" i="7"/>
  <c r="R49" i="7"/>
  <c r="O50" i="7"/>
  <c r="P50" i="7"/>
  <c r="Q50" i="7"/>
  <c r="R50" i="7"/>
  <c r="O51" i="7"/>
  <c r="P51" i="7"/>
  <c r="Q51" i="7"/>
  <c r="R51" i="7"/>
  <c r="O52" i="7"/>
  <c r="P52" i="7"/>
  <c r="Q52" i="7"/>
  <c r="R52" i="7"/>
  <c r="O53" i="7"/>
  <c r="P53" i="7"/>
  <c r="Q53" i="7"/>
  <c r="R53" i="7"/>
  <c r="O54" i="7"/>
  <c r="P54" i="7"/>
  <c r="Q54" i="7"/>
  <c r="R54" i="7"/>
  <c r="O55" i="7"/>
  <c r="P55" i="7"/>
  <c r="Q55" i="7"/>
  <c r="R55" i="7"/>
  <c r="O56" i="7"/>
  <c r="P56" i="7"/>
  <c r="Q56" i="7"/>
  <c r="R56" i="7"/>
  <c r="O57" i="7"/>
  <c r="P57" i="7"/>
  <c r="Q57" i="7"/>
  <c r="R57" i="7"/>
  <c r="O58" i="7"/>
  <c r="P58" i="7"/>
  <c r="Q58" i="7"/>
  <c r="R58" i="7"/>
  <c r="O59" i="7"/>
  <c r="P59" i="7"/>
  <c r="Q59" i="7"/>
  <c r="R59" i="7"/>
  <c r="O60" i="7"/>
  <c r="P60" i="7"/>
  <c r="Q60" i="7"/>
  <c r="R60" i="7"/>
  <c r="O61" i="7"/>
  <c r="P61" i="7"/>
  <c r="Q61" i="7"/>
  <c r="R61" i="7"/>
  <c r="O62" i="7"/>
  <c r="P62" i="7"/>
  <c r="Q62" i="7"/>
  <c r="R62" i="7"/>
  <c r="O63" i="7"/>
  <c r="P63" i="7"/>
  <c r="Q63" i="7"/>
  <c r="R63" i="7"/>
  <c r="O64" i="7"/>
  <c r="P64" i="7"/>
  <c r="Q64" i="7"/>
  <c r="R64" i="7"/>
  <c r="O65" i="7"/>
  <c r="P65" i="7"/>
  <c r="Q65" i="7"/>
  <c r="R65" i="7"/>
  <c r="O66" i="7"/>
  <c r="P66" i="7"/>
  <c r="Q66" i="7"/>
  <c r="R66" i="7"/>
  <c r="O67" i="7"/>
  <c r="P67" i="7"/>
  <c r="Q67" i="7"/>
  <c r="R67" i="7"/>
  <c r="O68" i="7"/>
  <c r="P68" i="7"/>
  <c r="Q68" i="7"/>
  <c r="R68" i="7"/>
  <c r="O69" i="7"/>
  <c r="P69" i="7"/>
  <c r="Q69" i="7"/>
  <c r="R69" i="7"/>
  <c r="O70" i="7"/>
  <c r="P70" i="7"/>
  <c r="Q70" i="7"/>
  <c r="R70" i="7"/>
  <c r="O71" i="7"/>
  <c r="P71" i="7"/>
  <c r="Q71" i="7"/>
  <c r="R71" i="7"/>
  <c r="O72" i="7"/>
  <c r="P72" i="7"/>
  <c r="Q72" i="7"/>
  <c r="R72"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9" i="7"/>
  <c r="N70" i="7"/>
  <c r="N71" i="7"/>
  <c r="N72" i="7"/>
  <c r="N3" i="7"/>
  <c r="J3" i="7"/>
  <c r="T3" i="7" s="1"/>
  <c r="K3" i="7"/>
  <c r="U3" i="7" s="1"/>
  <c r="L3" i="7"/>
  <c r="V3" i="7" s="1"/>
  <c r="M3" i="7"/>
  <c r="J4" i="7"/>
  <c r="K4" i="7"/>
  <c r="L4" i="7"/>
  <c r="M4" i="7"/>
  <c r="J5" i="7"/>
  <c r="K5" i="7"/>
  <c r="L5" i="7"/>
  <c r="M5" i="7"/>
  <c r="J6" i="7"/>
  <c r="K6" i="7"/>
  <c r="L6" i="7"/>
  <c r="M6" i="7"/>
  <c r="J7" i="7"/>
  <c r="K7" i="7"/>
  <c r="L7" i="7"/>
  <c r="M7" i="7"/>
  <c r="J8" i="7"/>
  <c r="K8" i="7"/>
  <c r="L8" i="7"/>
  <c r="M8" i="7"/>
  <c r="J9" i="7"/>
  <c r="K9" i="7"/>
  <c r="L9" i="7"/>
  <c r="M9" i="7"/>
  <c r="J10" i="7"/>
  <c r="K10" i="7"/>
  <c r="L10" i="7"/>
  <c r="M10" i="7"/>
  <c r="J11" i="7"/>
  <c r="K11" i="7"/>
  <c r="L11" i="7"/>
  <c r="M11" i="7"/>
  <c r="J12" i="7"/>
  <c r="K12" i="7"/>
  <c r="L12" i="7"/>
  <c r="M12" i="7"/>
  <c r="J13" i="7"/>
  <c r="K13" i="7"/>
  <c r="L13" i="7"/>
  <c r="M13" i="7"/>
  <c r="J14" i="7"/>
  <c r="K14" i="7"/>
  <c r="L14" i="7"/>
  <c r="M14" i="7"/>
  <c r="J15" i="7"/>
  <c r="K15" i="7"/>
  <c r="L15" i="7"/>
  <c r="M15" i="7"/>
  <c r="J16" i="7"/>
  <c r="K16" i="7"/>
  <c r="L16" i="7"/>
  <c r="M16" i="7"/>
  <c r="J17" i="7"/>
  <c r="K17" i="7"/>
  <c r="L17" i="7"/>
  <c r="M17" i="7"/>
  <c r="J18" i="7"/>
  <c r="K18" i="7"/>
  <c r="L18" i="7"/>
  <c r="M18" i="7"/>
  <c r="J19" i="7"/>
  <c r="K19" i="7"/>
  <c r="L19" i="7"/>
  <c r="M19" i="7"/>
  <c r="J20" i="7"/>
  <c r="K20" i="7"/>
  <c r="L20" i="7"/>
  <c r="M20" i="7"/>
  <c r="J21" i="7"/>
  <c r="K21" i="7"/>
  <c r="L21" i="7"/>
  <c r="M21" i="7"/>
  <c r="J22" i="7"/>
  <c r="K22" i="7"/>
  <c r="L22" i="7"/>
  <c r="M22" i="7"/>
  <c r="J23" i="7"/>
  <c r="K23" i="7"/>
  <c r="L23" i="7"/>
  <c r="M23" i="7"/>
  <c r="J24" i="7"/>
  <c r="K24" i="7"/>
  <c r="L24" i="7"/>
  <c r="M24" i="7"/>
  <c r="J25" i="7"/>
  <c r="K25" i="7"/>
  <c r="L25" i="7"/>
  <c r="M25" i="7"/>
  <c r="J26" i="7"/>
  <c r="K26" i="7"/>
  <c r="L26" i="7"/>
  <c r="M26" i="7"/>
  <c r="J27" i="7"/>
  <c r="K27" i="7"/>
  <c r="L27" i="7"/>
  <c r="M27" i="7"/>
  <c r="J28" i="7"/>
  <c r="K28" i="7"/>
  <c r="L28" i="7"/>
  <c r="M28" i="7"/>
  <c r="J29" i="7"/>
  <c r="K29" i="7"/>
  <c r="L29" i="7"/>
  <c r="M29" i="7"/>
  <c r="J30" i="7"/>
  <c r="K30" i="7"/>
  <c r="L30" i="7"/>
  <c r="M30" i="7"/>
  <c r="J31" i="7"/>
  <c r="K31" i="7"/>
  <c r="L31" i="7"/>
  <c r="M31" i="7"/>
  <c r="J32" i="7"/>
  <c r="K32" i="7"/>
  <c r="L32" i="7"/>
  <c r="M32" i="7"/>
  <c r="J33" i="7"/>
  <c r="K33" i="7"/>
  <c r="L33" i="7"/>
  <c r="M33" i="7"/>
  <c r="J34" i="7"/>
  <c r="K34" i="7"/>
  <c r="L34" i="7"/>
  <c r="M34" i="7"/>
  <c r="J35" i="7"/>
  <c r="K35" i="7"/>
  <c r="L35" i="7"/>
  <c r="M35" i="7"/>
  <c r="J36" i="7"/>
  <c r="K36" i="7"/>
  <c r="L36" i="7"/>
  <c r="M36" i="7"/>
  <c r="J37" i="7"/>
  <c r="K37" i="7"/>
  <c r="L37" i="7"/>
  <c r="M37" i="7"/>
  <c r="J38" i="7"/>
  <c r="K38" i="7"/>
  <c r="L38" i="7"/>
  <c r="M38" i="7"/>
  <c r="J39" i="7"/>
  <c r="K39" i="7"/>
  <c r="L39" i="7"/>
  <c r="M39" i="7"/>
  <c r="J40" i="7"/>
  <c r="K40" i="7"/>
  <c r="L40" i="7"/>
  <c r="M40" i="7"/>
  <c r="J41" i="7"/>
  <c r="K41" i="7"/>
  <c r="L41" i="7"/>
  <c r="M41" i="7"/>
  <c r="J42" i="7"/>
  <c r="K42" i="7"/>
  <c r="L42" i="7"/>
  <c r="M42" i="7"/>
  <c r="J43" i="7"/>
  <c r="K43" i="7"/>
  <c r="L43" i="7"/>
  <c r="M43" i="7"/>
  <c r="J44" i="7"/>
  <c r="K44" i="7"/>
  <c r="L44" i="7"/>
  <c r="M44" i="7"/>
  <c r="J45" i="7"/>
  <c r="K45" i="7"/>
  <c r="L45" i="7"/>
  <c r="M45" i="7"/>
  <c r="J46" i="7"/>
  <c r="K46" i="7"/>
  <c r="L46" i="7"/>
  <c r="M46" i="7"/>
  <c r="J47" i="7"/>
  <c r="K47" i="7"/>
  <c r="L47" i="7"/>
  <c r="M47" i="7"/>
  <c r="J48" i="7"/>
  <c r="K48" i="7"/>
  <c r="L48" i="7"/>
  <c r="M48" i="7"/>
  <c r="J49" i="7"/>
  <c r="K49" i="7"/>
  <c r="L49" i="7"/>
  <c r="M49" i="7"/>
  <c r="J50" i="7"/>
  <c r="K50" i="7"/>
  <c r="L50" i="7"/>
  <c r="M50" i="7"/>
  <c r="J51" i="7"/>
  <c r="K51" i="7"/>
  <c r="L51" i="7"/>
  <c r="M51" i="7"/>
  <c r="J52" i="7"/>
  <c r="K52" i="7"/>
  <c r="L52" i="7"/>
  <c r="M52" i="7"/>
  <c r="J53" i="7"/>
  <c r="K53" i="7"/>
  <c r="L53" i="7"/>
  <c r="M53" i="7"/>
  <c r="J54" i="7"/>
  <c r="K54" i="7"/>
  <c r="L54" i="7"/>
  <c r="M54" i="7"/>
  <c r="J55" i="7"/>
  <c r="K55" i="7"/>
  <c r="L55" i="7"/>
  <c r="M55" i="7"/>
  <c r="J56" i="7"/>
  <c r="K56" i="7"/>
  <c r="L56" i="7"/>
  <c r="M56" i="7"/>
  <c r="J57" i="7"/>
  <c r="K57" i="7"/>
  <c r="L57" i="7"/>
  <c r="M57" i="7"/>
  <c r="J58" i="7"/>
  <c r="K58" i="7"/>
  <c r="L58" i="7"/>
  <c r="M58" i="7"/>
  <c r="J59" i="7"/>
  <c r="K59" i="7"/>
  <c r="L59" i="7"/>
  <c r="M59" i="7"/>
  <c r="J60" i="7"/>
  <c r="K60" i="7"/>
  <c r="L60" i="7"/>
  <c r="M60" i="7"/>
  <c r="J61" i="7"/>
  <c r="K61" i="7"/>
  <c r="L61" i="7"/>
  <c r="M61" i="7"/>
  <c r="J62" i="7"/>
  <c r="K62" i="7"/>
  <c r="L62" i="7"/>
  <c r="M62" i="7"/>
  <c r="J63" i="7"/>
  <c r="K63" i="7"/>
  <c r="L63" i="7"/>
  <c r="M63" i="7"/>
  <c r="J64" i="7"/>
  <c r="K64" i="7"/>
  <c r="L64" i="7"/>
  <c r="M64" i="7"/>
  <c r="J65" i="7"/>
  <c r="K65" i="7"/>
  <c r="L65" i="7"/>
  <c r="M65" i="7"/>
  <c r="J66" i="7"/>
  <c r="K66" i="7"/>
  <c r="L66" i="7"/>
  <c r="M66" i="7"/>
  <c r="J67" i="7"/>
  <c r="K67" i="7"/>
  <c r="L67" i="7"/>
  <c r="M67" i="7"/>
  <c r="J68" i="7"/>
  <c r="K68" i="7"/>
  <c r="L68" i="7"/>
  <c r="M68" i="7"/>
  <c r="J69" i="7"/>
  <c r="K69" i="7"/>
  <c r="L69" i="7"/>
  <c r="M69" i="7"/>
  <c r="J70" i="7"/>
  <c r="K70" i="7"/>
  <c r="L70" i="7"/>
  <c r="M70" i="7"/>
  <c r="J71" i="7"/>
  <c r="K71" i="7"/>
  <c r="L71" i="7"/>
  <c r="M71" i="7"/>
  <c r="J72" i="7"/>
  <c r="K72" i="7"/>
  <c r="L72" i="7"/>
  <c r="M72" i="7"/>
  <c r="I4" i="7"/>
  <c r="I5" i="7"/>
  <c r="I6" i="7"/>
  <c r="I7" i="7"/>
  <c r="I8" i="7"/>
  <c r="I9" i="7"/>
  <c r="I10" i="7"/>
  <c r="I11" i="7"/>
  <c r="I12"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S68" i="7" s="1"/>
  <c r="I69" i="7"/>
  <c r="I70" i="7"/>
  <c r="I71" i="7"/>
  <c r="I72" i="7"/>
  <c r="I3" i="7"/>
  <c r="S9" i="7" l="1"/>
  <c r="S57" i="7"/>
  <c r="S41" i="7"/>
  <c r="S25" i="7"/>
  <c r="S8" i="7"/>
  <c r="S65" i="7"/>
  <c r="S49" i="7"/>
  <c r="S33" i="7"/>
  <c r="S17" i="7"/>
  <c r="W3" i="7"/>
  <c r="S10" i="7"/>
  <c r="S3" i="7"/>
  <c r="S64" i="7"/>
  <c r="S48" i="7"/>
  <c r="S40" i="7"/>
  <c r="S32" i="7"/>
  <c r="S16" i="7"/>
  <c r="S56" i="7"/>
  <c r="S24" i="7"/>
  <c r="S71" i="7"/>
  <c r="S62" i="7"/>
  <c r="S38" i="7"/>
  <c r="S22" i="7"/>
  <c r="S67" i="7"/>
  <c r="S59" i="7"/>
  <c r="S51" i="7"/>
  <c r="S43" i="7"/>
  <c r="S35" i="7"/>
  <c r="S27" i="7"/>
  <c r="S19" i="7"/>
  <c r="S6" i="7"/>
  <c r="S54" i="7"/>
  <c r="S30" i="7"/>
  <c r="S14" i="7"/>
  <c r="S46" i="7"/>
  <c r="S66" i="7"/>
  <c r="S58" i="7"/>
  <c r="S50" i="7"/>
  <c r="S42" i="7"/>
  <c r="S34" i="7"/>
  <c r="S26" i="7"/>
  <c r="S18" i="7"/>
  <c r="S15" i="7"/>
  <c r="S72" i="7"/>
  <c r="S55" i="7"/>
  <c r="S63" i="7"/>
  <c r="S39" i="7"/>
  <c r="S31" i="7"/>
  <c r="S69" i="7"/>
  <c r="S61" i="7"/>
  <c r="S53" i="7"/>
  <c r="S45" i="7"/>
  <c r="S37" i="7"/>
  <c r="S29" i="7"/>
  <c r="S21" i="7"/>
  <c r="S12" i="7"/>
  <c r="S4" i="7"/>
  <c r="S7" i="7"/>
  <c r="S47" i="7"/>
  <c r="S23" i="7"/>
  <c r="D99" i="7" s="1"/>
  <c r="S70" i="7"/>
  <c r="D113" i="7" s="1"/>
  <c r="S5" i="7"/>
  <c r="S60" i="7"/>
  <c r="D112" i="7" s="1"/>
  <c r="S52" i="7"/>
  <c r="S44" i="7"/>
  <c r="S36" i="7"/>
  <c r="S28" i="7"/>
  <c r="S20" i="7"/>
  <c r="D92" i="7" s="1"/>
  <c r="S11" i="7"/>
  <c r="W72" i="7"/>
  <c r="W70" i="7"/>
  <c r="S13" i="7"/>
  <c r="T72" i="7"/>
  <c r="T70" i="7"/>
  <c r="T68" i="7"/>
  <c r="T66" i="7"/>
  <c r="T64" i="7"/>
  <c r="T62" i="7"/>
  <c r="T60" i="7"/>
  <c r="T58" i="7"/>
  <c r="T56" i="7"/>
  <c r="T54" i="7"/>
  <c r="T52" i="7"/>
  <c r="T50" i="7"/>
  <c r="T48" i="7"/>
  <c r="T46" i="7"/>
  <c r="T44" i="7"/>
  <c r="T42" i="7"/>
  <c r="T40" i="7"/>
  <c r="T38" i="7"/>
  <c r="T36" i="7"/>
  <c r="T34" i="7"/>
  <c r="T32" i="7"/>
  <c r="T30" i="7"/>
  <c r="T28" i="7"/>
  <c r="T26" i="7"/>
  <c r="T24" i="7"/>
  <c r="T22" i="7"/>
  <c r="T20" i="7"/>
  <c r="T18" i="7"/>
  <c r="T16" i="7"/>
  <c r="T14" i="7"/>
  <c r="T12" i="7"/>
  <c r="T10" i="7"/>
  <c r="T8" i="7"/>
  <c r="T6" i="7"/>
  <c r="T4" i="7"/>
  <c r="W71" i="7"/>
  <c r="W69" i="7"/>
  <c r="H113" i="7" s="1"/>
  <c r="W67" i="7"/>
  <c r="W65" i="7"/>
  <c r="W63" i="7"/>
  <c r="W61" i="7"/>
  <c r="W59" i="7"/>
  <c r="W57" i="7"/>
  <c r="W55" i="7"/>
  <c r="W53" i="7"/>
  <c r="W51" i="7"/>
  <c r="W49" i="7"/>
  <c r="W47" i="7"/>
  <c r="W45" i="7"/>
  <c r="W43" i="7"/>
  <c r="W41" i="7"/>
  <c r="W39" i="7"/>
  <c r="W37" i="7"/>
  <c r="W35" i="7"/>
  <c r="W33" i="7"/>
  <c r="W31" i="7"/>
  <c r="W29" i="7"/>
  <c r="W27" i="7"/>
  <c r="W25" i="7"/>
  <c r="W23" i="7"/>
  <c r="H99" i="7" s="1"/>
  <c r="W21" i="7"/>
  <c r="W19" i="7"/>
  <c r="W17" i="7"/>
  <c r="W15" i="7"/>
  <c r="W13" i="7"/>
  <c r="W11" i="7"/>
  <c r="W9" i="7"/>
  <c r="W7" i="7"/>
  <c r="W5" i="7"/>
  <c r="D123" i="7"/>
  <c r="D100" i="7"/>
  <c r="D101" i="7"/>
  <c r="D89" i="7"/>
  <c r="W68" i="7"/>
  <c r="W66" i="7"/>
  <c r="W64" i="7"/>
  <c r="W62" i="7"/>
  <c r="W60" i="7"/>
  <c r="W58" i="7"/>
  <c r="W56" i="7"/>
  <c r="W54" i="7"/>
  <c r="W52" i="7"/>
  <c r="W50" i="7"/>
  <c r="W48" i="7"/>
  <c r="W46" i="7"/>
  <c r="W44" i="7"/>
  <c r="W42" i="7"/>
  <c r="W40" i="7"/>
  <c r="W38" i="7"/>
  <c r="W36" i="7"/>
  <c r="W34" i="7"/>
  <c r="H101" i="7" s="1"/>
  <c r="W32" i="7"/>
  <c r="W30" i="7"/>
  <c r="W28" i="7"/>
  <c r="W26" i="7"/>
  <c r="W24" i="7"/>
  <c r="W22" i="7"/>
  <c r="W20" i="7"/>
  <c r="W18" i="7"/>
  <c r="H92" i="7" s="1"/>
  <c r="W16" i="7"/>
  <c r="W14" i="7"/>
  <c r="W12" i="7"/>
  <c r="W10" i="7"/>
  <c r="W8" i="7"/>
  <c r="W6" i="7"/>
  <c r="W4" i="7"/>
  <c r="V72" i="7"/>
  <c r="V70" i="7"/>
  <c r="V68" i="7"/>
  <c r="V66" i="7"/>
  <c r="V64" i="7"/>
  <c r="V62" i="7"/>
  <c r="D111" i="7"/>
  <c r="D124" i="7"/>
  <c r="V71" i="7"/>
  <c r="V69" i="7"/>
  <c r="V67" i="7"/>
  <c r="V65" i="7"/>
  <c r="V63" i="7"/>
  <c r="V61" i="7"/>
  <c r="V59" i="7"/>
  <c r="V57" i="7"/>
  <c r="V55" i="7"/>
  <c r="V53" i="7"/>
  <c r="V51" i="7"/>
  <c r="V49" i="7"/>
  <c r="V47" i="7"/>
  <c r="V45" i="7"/>
  <c r="V43" i="7"/>
  <c r="V41" i="7"/>
  <c r="V39" i="7"/>
  <c r="V37" i="7"/>
  <c r="V35" i="7"/>
  <c r="V33" i="7"/>
  <c r="V31" i="7"/>
  <c r="V29" i="7"/>
  <c r="V27" i="7"/>
  <c r="V25" i="7"/>
  <c r="V23" i="7"/>
  <c r="V21" i="7"/>
  <c r="V19" i="7"/>
  <c r="V17" i="7"/>
  <c r="V15" i="7"/>
  <c r="V13" i="7"/>
  <c r="V11" i="7"/>
  <c r="V9" i="7"/>
  <c r="V7" i="7"/>
  <c r="V5" i="7"/>
  <c r="D122" i="7"/>
  <c r="D102" i="7"/>
  <c r="D90" i="7"/>
  <c r="U71" i="7"/>
  <c r="U69" i="7"/>
  <c r="U67" i="7"/>
  <c r="U65" i="7"/>
  <c r="U63" i="7"/>
  <c r="U61" i="7"/>
  <c r="U59" i="7"/>
  <c r="U57" i="7"/>
  <c r="U55" i="7"/>
  <c r="U53" i="7"/>
  <c r="U51" i="7"/>
  <c r="U49" i="7"/>
  <c r="U47" i="7"/>
  <c r="U45" i="7"/>
  <c r="U43" i="7"/>
  <c r="U41" i="7"/>
  <c r="U39" i="7"/>
  <c r="U37" i="7"/>
  <c r="U35" i="7"/>
  <c r="U33" i="7"/>
  <c r="U31" i="7"/>
  <c r="U29" i="7"/>
  <c r="U27" i="7"/>
  <c r="U25" i="7"/>
  <c r="U23" i="7"/>
  <c r="U21" i="7"/>
  <c r="U19" i="7"/>
  <c r="U17" i="7"/>
  <c r="U15" i="7"/>
  <c r="U13" i="7"/>
  <c r="U11" i="7"/>
  <c r="U9" i="7"/>
  <c r="U7" i="7"/>
  <c r="U5" i="7"/>
  <c r="T71" i="7"/>
  <c r="T69" i="7"/>
  <c r="T67" i="7"/>
  <c r="T65" i="7"/>
  <c r="T63" i="7"/>
  <c r="T61" i="7"/>
  <c r="E112" i="7" s="1"/>
  <c r="T59" i="7"/>
  <c r="T57" i="7"/>
  <c r="T55" i="7"/>
  <c r="T53" i="7"/>
  <c r="T51" i="7"/>
  <c r="T49" i="7"/>
  <c r="T47" i="7"/>
  <c r="T45" i="7"/>
  <c r="T43" i="7"/>
  <c r="T41" i="7"/>
  <c r="T39" i="7"/>
  <c r="T37" i="7"/>
  <c r="T35" i="7"/>
  <c r="T33" i="7"/>
  <c r="T31" i="7"/>
  <c r="T29" i="7"/>
  <c r="E100" i="7" s="1"/>
  <c r="T27" i="7"/>
  <c r="T25" i="7"/>
  <c r="T23" i="7"/>
  <c r="T21" i="7"/>
  <c r="T19" i="7"/>
  <c r="T17" i="7"/>
  <c r="T15" i="7"/>
  <c r="T13" i="7"/>
  <c r="F80" i="7" s="1"/>
  <c r="T11" i="7"/>
  <c r="T9" i="7"/>
  <c r="T7" i="7"/>
  <c r="T5" i="7"/>
  <c r="V60" i="7"/>
  <c r="V58" i="7"/>
  <c r="G112" i="7" s="1"/>
  <c r="V56" i="7"/>
  <c r="V54" i="7"/>
  <c r="G111" i="7" s="1"/>
  <c r="V52" i="7"/>
  <c r="V50" i="7"/>
  <c r="V48" i="7"/>
  <c r="V46" i="7"/>
  <c r="V44" i="7"/>
  <c r="V42" i="7"/>
  <c r="V40" i="7"/>
  <c r="V38" i="7"/>
  <c r="V36" i="7"/>
  <c r="V34" i="7"/>
  <c r="V32" i="7"/>
  <c r="V30" i="7"/>
  <c r="V28" i="7"/>
  <c r="V26" i="7"/>
  <c r="V24" i="7"/>
  <c r="V22" i="7"/>
  <c r="G92" i="7" s="1"/>
  <c r="V20" i="7"/>
  <c r="V18" i="7"/>
  <c r="V16" i="7"/>
  <c r="V14" i="7"/>
  <c r="V12" i="7"/>
  <c r="V10" i="7"/>
  <c r="V8" i="7"/>
  <c r="V6" i="7"/>
  <c r="G89" i="7" s="1"/>
  <c r="V4" i="7"/>
  <c r="U72" i="7"/>
  <c r="U70" i="7"/>
  <c r="U68" i="7"/>
  <c r="U66" i="7"/>
  <c r="U64" i="7"/>
  <c r="U62" i="7"/>
  <c r="U60" i="7"/>
  <c r="F112" i="7" s="1"/>
  <c r="U58" i="7"/>
  <c r="U56" i="7"/>
  <c r="U54" i="7"/>
  <c r="U52" i="7"/>
  <c r="U50" i="7"/>
  <c r="U48" i="7"/>
  <c r="U46" i="7"/>
  <c r="U44" i="7"/>
  <c r="F109" i="7" s="1"/>
  <c r="U42" i="7"/>
  <c r="U40" i="7"/>
  <c r="U38" i="7"/>
  <c r="U36" i="7"/>
  <c r="U34" i="7"/>
  <c r="U32" i="7"/>
  <c r="U30" i="7"/>
  <c r="U28" i="7"/>
  <c r="F100" i="7" s="1"/>
  <c r="U26" i="7"/>
  <c r="U24" i="7"/>
  <c r="U22" i="7"/>
  <c r="U20" i="7"/>
  <c r="U18" i="7"/>
  <c r="U16" i="7"/>
  <c r="U14" i="7"/>
  <c r="U12" i="7"/>
  <c r="U10" i="7"/>
  <c r="U8" i="7"/>
  <c r="U6" i="7"/>
  <c r="U4" i="7"/>
  <c r="D91" i="7"/>
  <c r="E102" i="7"/>
  <c r="E90" i="7"/>
  <c r="H91" i="7"/>
  <c r="H90" i="7"/>
  <c r="H112" i="7"/>
  <c r="G114" i="7" l="1"/>
  <c r="E114" i="7"/>
  <c r="G113" i="7"/>
  <c r="E111" i="7"/>
  <c r="D109" i="7"/>
  <c r="H89" i="7"/>
  <c r="G91" i="7"/>
  <c r="H109" i="7"/>
  <c r="D110" i="7"/>
  <c r="F114" i="7"/>
  <c r="F89" i="7"/>
  <c r="E89" i="7"/>
  <c r="E99" i="7"/>
  <c r="G90" i="7"/>
  <c r="E91" i="7"/>
  <c r="H110" i="7"/>
  <c r="E124" i="7"/>
  <c r="F124" i="7"/>
  <c r="G81" i="7"/>
  <c r="H114" i="7"/>
  <c r="D114" i="7"/>
  <c r="E109" i="7"/>
  <c r="H121" i="7"/>
  <c r="D121" i="7"/>
  <c r="G109" i="7"/>
  <c r="E80" i="7"/>
  <c r="H124" i="7"/>
  <c r="E110" i="7"/>
  <c r="G101" i="7"/>
  <c r="G110" i="7"/>
  <c r="H111" i="7"/>
  <c r="G82" i="7"/>
  <c r="E121" i="7"/>
  <c r="F110" i="7"/>
  <c r="D80" i="7"/>
  <c r="E101" i="7"/>
  <c r="F82" i="7"/>
  <c r="F101" i="7"/>
  <c r="E82" i="7"/>
  <c r="I82" i="7"/>
  <c r="D82" i="7"/>
  <c r="F111" i="7"/>
  <c r="D81" i="7"/>
  <c r="E122" i="7"/>
  <c r="G80" i="7"/>
  <c r="H123" i="7"/>
  <c r="G99" i="7"/>
  <c r="G124" i="7"/>
  <c r="H100" i="7"/>
  <c r="G102" i="7"/>
  <c r="G122" i="7"/>
  <c r="E92" i="7"/>
  <c r="H82" i="7"/>
  <c r="E81" i="7"/>
  <c r="E113" i="7"/>
  <c r="G123" i="7"/>
  <c r="F91" i="7"/>
  <c r="E123" i="7"/>
  <c r="F92" i="7"/>
  <c r="F121" i="7"/>
  <c r="G100" i="7"/>
  <c r="F102" i="7"/>
  <c r="F122" i="7"/>
  <c r="F81" i="7"/>
  <c r="F90" i="7"/>
  <c r="G121" i="7"/>
  <c r="H102" i="7"/>
  <c r="H122" i="7"/>
  <c r="F113" i="7"/>
  <c r="F123" i="7"/>
  <c r="F99" i="7"/>
</calcChain>
</file>

<file path=xl/sharedStrings.xml><?xml version="1.0" encoding="utf-8"?>
<sst xmlns="http://schemas.openxmlformats.org/spreadsheetml/2006/main" count="1489" uniqueCount="361">
  <si>
    <t>output.extracted_model_answers</t>
  </si>
  <si>
    <t>output.extracted_gold_answer</t>
  </si>
  <si>
    <t>output.model_answers_text</t>
  </si>
  <si>
    <t>summary.weave.trace_name</t>
  </si>
  <si>
    <t>summary.weave.latency_ms</t>
  </si>
  <si>
    <t>output.gold_answer_text</t>
  </si>
  <si>
    <t>output.majority_answer</t>
  </si>
  <si>
    <t>inputs.max_new_tokens</t>
  </si>
  <si>
    <t>summary.weave.status</t>
  </si>
  <si>
    <t>inputs.temperature</t>
  </si>
  <si>
    <t>inputs.question</t>
  </si>
  <si>
    <t>output.correct</t>
  </si>
  <si>
    <t>inputs.model</t>
  </si>
  <si>
    <t>Model Name</t>
  </si>
  <si>
    <t>inputs.top_k</t>
  </si>
  <si>
    <t>inputs.top_p</t>
  </si>
  <si>
    <t>trace_id</t>
  </si>
  <si>
    <t>id</t>
  </si>
  <si>
    <t>[None]</t>
  </si>
  <si>
    <t>["Let's think step by step. Jennie started with a pile of letters,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t>
  </si>
  <si>
    <t>prompt_124</t>
  </si>
  <si>
    <t>She stamped 60/3=&lt;&lt;60/3=20&gt;&gt;20 letters.\nThen there were 30-20=&lt;&lt;30-20=10&gt;&gt;10 in the already-stamped pile to begin with.\n#### 10</t>
  </si>
  <si>
    <t>success</t>
  </si>
  <si>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</si>
  <si>
    <t>False</t>
  </si>
  <si>
    <t>master_thesis_math_lm/raw_models/gpt2:v0</t>
  </si>
  <si>
    <t>0 GPT-2 Baseline</t>
  </si>
  <si>
    <t>019614b8-ca47-7aa2-b9dc-5edb306e09c9</t>
  </si>
  <si>
    <t>019614b8-ca47-7aa2-b9dc-5ee957e9df23</t>
  </si>
  <si>
    <t>["Let's think step by step. She invited me to her birthday party. I was a little nervous. I was nervous about the fact that I was going to be a little nervous. I was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t>
  </si>
  <si>
    <t>prompt_357</t>
  </si>
  <si>
    <t>The go karts will cost $20 per person because 10 x 2 = &lt;&lt;10*2=20&gt;&gt;20\nEach person costs $30 because 5 + 5 + 20 = &lt;&lt;5+5+20=30&gt;&gt;30\nThree total people can attend because 90 / 30 = &lt;&lt;90/30=3&gt;&gt;3\nShe can invite 2 friends because 3 - 1 =&lt;&lt;3-1=2&gt;&gt;2\n#### 2</t>
  </si>
  <si>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</si>
  <si>
    <t>019614bf-9744-79b0-af89-d38f02204a8a</t>
  </si>
  <si>
    <t>019614bf-9744-79b0-af89-d3956a957e5f</t>
  </si>
  <si>
    <t>['140']</t>
  </si>
  <si>
    <t>["Let's think step by step. The original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t>
  </si>
  <si>
    <t>prompt_682</t>
  </si>
  <si>
    <t>Without the lace trim, the dress is 140cm full length – 20cm lace trim = &lt;&lt;140-20=120&gt;&gt;120cm.\nLet's assume the dress was originally x cm in length.\nHalf the original length is x/2.\nAdding the original length and the extended length, which is x+x/2 = 120\n3/2x = 120\nThe orginal length is x= 80 cm\n#### 80</t>
  </si>
  <si>
    <t>Shania is designing her own dress, and decides to make it a longer dress by extending the dress by 50% of its original length. She also adds 20cm to the bottom of the dress with a lace trim. If the final design is 140cm long then how long, in centimeters, was the dress in its original design?</t>
  </si>
  <si>
    <t>019614c9-6e7e-7dc1-976e-942148c74f56</t>
  </si>
  <si>
    <t>019614c9-6e7e-7dc1-976e-9439e715e3c8</t>
  </si>
  <si>
    <t>["Let's think step by step. The first thing you need to do is to make sure that you have enough soup for each child. If you have a large pot, you can make a large pot of soup for each child. If you have a small pot, you can make a small pot of soup for each child. If you have a large pot, you can make a large pot of soup for each child. If you have a small pot, you can make a small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t>
  </si>
  <si>
    <t>prompt_901</t>
  </si>
  <si>
    <t>Four adult bowls equal eight children’s bowls, so each adult bowl is 8 / 4 = &lt;&lt;8/4=2&gt;&gt;2 children’s bowls.\nCalvin and his wife will eat two adult bowls, so they will eat the equivalent of 2 * 2 = &lt;&lt;2*2=4&gt;&gt;4 children’s bowls.\nThus, he, his wife, and their children will eat 4 + 2 = &lt;&lt;4+2=6&gt;&gt;6 children’s bowls at dinner.\nAfter dinner, there will be 8 - 6 = &lt;&lt;8-6=2&gt;&gt;2 children’s bowls left over.\nThere are 2 children, so each child will be able to eat a bowl of leftover soup for lunch 2 / 2 = &lt;&lt;2/2=1&gt;&gt;1 time.\n#### 1</t>
  </si>
  <si>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</si>
  <si>
    <t>019614d0-161a-7dd2-8fe2-e65619708d23</t>
  </si>
  <si>
    <t>019614d0-161a-7dd2-8fe2-e6685c7d0ee0</t>
  </si>
  <si>
    <t>["Let's think step by step. He picked up a couple of marbles and then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t>
  </si>
  <si>
    <t>prompt_1247</t>
  </si>
  <si>
    <t>Brendan dropped his marbles and was left with 10/2=&lt;&lt;10/2=5&gt;&gt;5 marbles.\nHe searched and found some of his lost marbles, getting him back to 5+3=&lt;&lt;5+3=8&gt;&gt;8 marbles.\nHe went home and removed a bead, leaving him with 8-1=&lt;&lt;8-1=7&gt;&gt;7 marbles.\n#### 7</t>
  </si>
  <si>
    <t>Brendan has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t>
  </si>
  <si>
    <t>019614da-6ab3-7cb3-82fd-6bbb25d90fd7</t>
  </si>
  <si>
    <t>019614da-6ab3-7cb3-82fd-6bc7820de532</t>
  </si>
  <si>
    <t>['60']</t>
  </si>
  <si>
    <t>["Let's think step by step.\nJennie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t>
  </si>
  <si>
    <t>master_thesis_math_lm/gpt2-math-final/gpt2-math-fineweb-model:v0</t>
  </si>
  <si>
    <t>1 GPT-2 CPT</t>
  </si>
  <si>
    <t>019614da-f09d-7ac3-b754-fbc435b0d773</t>
  </si>
  <si>
    <t>019614da-f09d-7ac3-b754-fbda444d4e73</t>
  </si>
  <si>
    <t>['103']</t>
  </si>
  <si>
    <t>["Let's think step by step.\n1. $10\n2. $5\n3. $5\n4. $5\n5. $10\n6. $10\n7. $10\n8. $10\n9. $10\n10. $10\n11. $10\n12. $10\n13. $10\n14. $10\n15. $10\n16. $10\n17. $10\n18. $10\n19. $10\n20. $10\n21. $10\n22. $10\n23. $10\n24. $10\n25. $10\n26. $10\n27. $10\n28. $10\n29. $10\n30. $10\n31. $10\n32. $10\n33. $10\n34. $10\n35. $10\n36. $10\n37. $10\n38. $10\n39. $10\n40. $10\n41. $10\n42. $10\n43. $10\n44. $10\n45. $10\n46. $10\n47. $10\n48. $10\n49. $10\n50. $10\n51. $10\n52. $10\n53. $10\n54. $10\n55. $10\n56. $10\n57. $10\n58. $10\n59. $10\n60. $10\n61. $10\n62. $10\n63. $10\n64. $10\n65. $10\n66. $10\n67. $10\n68. $10\n69. $10\n70. $10\n71. $10\n72. $10\n73. $10\n74. $10\n75. $10\n76. $10\n77. $10\n78. $10\n79. $10\n80. $10\n81. $10\n82. $10\n83. $10\n84. $10\n85. $10\n86. $10\n87. $10\n88. $10\n89. $10\n90. $10\n91. $10\n92. $10\n93. $10\n94. $10\n95. $10\n96. $10\n97. $10\n98. $10\n99. $10\n100. $10\n101. $10\n102. $10\n103"]</t>
  </si>
  <si>
    <t>019614e2-6812-79c2-8005-3630c7ab5c5b</t>
  </si>
  <si>
    <t>019614e2-6812-79c2-8005-3648e41f7586</t>
  </si>
  <si>
    <t>['100']</t>
  </si>
  <si>
    <t>["Let's think step by step. The dress is made of 100% cotton and 100% polyester. The fabric is 100% polyester and 100% cotton.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t>
  </si>
  <si>
    <t>019614ec-a869-7f30-b51c-038295657865</t>
  </si>
  <si>
    <t>019614ec-a869-7f30-b51c-03936612923d</t>
  </si>
  <si>
    <t>['21']</t>
  </si>
  <si>
    <t>["Let's think step by step.\n1. The amount of soup in the pot is equal to the amount of soup in the adult's bowl.\n2. The amount of soup in the adult's bowl is equal to the amount of soup in the child's bowl.\n3. The amount of soup in the adult's bowl is equal to the amount of soup in the child's bowl.\n4. The amount of soup in the adult's bowl is equal to the amount of soup in the child's bowl.\n5. The amount of soup in the adult's bowl is equal to the amount of soup in the child's bowl.\n6. The amount of soup in the adult's bowl is equal to the amount of soup in the child's bowl.\n7. The amount of soup in the adult's bowl is equal to the amount of soup in the child's bowl.\n8. The amount of soup in the adult's bowl is equal to the amount of soup in the child's bowl.\n9. The amount of soup in the adult's bowl is equal to the amount of soup in the child's bowl.\n10. The amount of soup in the adult's bowl is equal to the amount of soup in the child's bowl.\n11. The amount of soup in the adult's bowl is equal to the amount of soup in the child's bowl.\n12. The amount of soup in the adult's bowl is equal to the amount of soup in the child's bowl.\n13. The amount of soup in the adult's bowl is equal to the amount of soup in the child's bowl.\n14. The amount of soup in the adult's bowl is equal to the amount of soup in the child's bowl.\n15. The amount of soup in the adult's bowl is equal to the amount of soup in the child's bowl.\n16. The amount of soup in the adult's bowl is equal to the amount of soup in the child's bowl.\n17. The amount of soup in the adult's bowl is equal to the amount of soup in the child's bowl.\n18. The amount of soup in the adult's bowl is equal to the amount of soup in the child's bowl.\n19. The amount of soup in the adult's bowl is equal to the amount of soup in the child's bowl.\n20. The amount of soup in the adult's bowl is equal to the amount of soup in the child's bowl.\n21. The amount of soup in the adult's bowl is equal"]</t>
  </si>
  <si>
    <t>019614f3-affe-7fc2-878b-fa8366c27a95</t>
  </si>
  <si>
    <t>019614f3-affe-7fc2-878b-fa909c527981</t>
  </si>
  <si>
    <t>['3']</t>
  </si>
  <si>
    <t>["Let's think step by step.\nBrendan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t>
  </si>
  <si>
    <t>019614fe-8de3-7561-a26b-8786be79d5fb</t>
  </si>
  <si>
    <t>019614fe-8de3-7561-a26b-8799b2881875</t>
  </si>
  <si>
    <t>['8.8']</t>
  </si>
  <si>
    <t>["Let's think step by step. The answer is 6.5. Please correct the rounding error.\n###Answer: The answer is 140.5. Find the sum of the letters written by Jennie and her mother.\n###Answer: The answer is 1840.5. Find the sum of the letters written by her mother.\n###Answer: The answer is 1840.5. Find the sum of the letters written by her mother.\n###Answer: The answer is 6.8. Find the sum of the letters written by her mother.\n###Answer: The answer is 6.8.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t>
  </si>
  <si>
    <t>master_thesis_math_lm/gpt2-cl-final/gpt2-math-cl-final:v0</t>
  </si>
  <si>
    <t>2 GPT-2 CL</t>
  </si>
  <si>
    <t>01961524-ddb9-7423-a02c-79f4eac8e60b</t>
  </si>
  <si>
    <t>01961524-ddb9-7423-a02c-7a0737e625a6</t>
  </si>
  <si>
    <t>['32.7.7']</t>
  </si>
  <si>
    <t>["Let's think step by step.\n###Answer: The answer is 2.5.5. How many people can you make in total?\n###Answer: The answer is 20.2.5. How many people can't come?.\n###Answer: The answer is 2.3.3. How many people can come.\n###Answer: The answer is 2.4.5. How many people can't come.\n###Answer: The answer is 2.5.6. How many people can't come.\n###Answer: The answer is 2.7.7. How many people can't come.\n###Answer: The answer is 2.8.7. How many people can't come.\n###Answer: The answer is 2.9.7. How many people can't come.\n###Answer: The answer is 2.10.7. How many people can't come.\n###Answer: The answer is 2.11.7. How many people can't come.\n###Answer: The answer is 2.12.7. How many people can't come.\n###Answer: The answer is 2.13.7. How many people can't come.\n###Answer: The answer is 2.14.7. How many people can't come.\n###Answer: The answer is 2.15.7. How many people can't come.\n###Answer: The answer is 2.16.7. How many people can't come.\n###Answer: The answer is 2.17.7. How many people can't come.\n###Answer: The answer is 2.18.7. How many people can't come.\n###Answer: The answer is 2.19.7. How many people can't come.\n###Answer: The answer is 2.22.7. How many people can't come.\n###Answer: The answer is 2.23.7. How many people can't come.\n###Answer: The answer is 24.7.8. How many people can't come.\n###Answer: The answer is 26.8.7. How many people can't come.\n###Answer: The answer is 27.8.7. How many people can't come.\n###Answer: 28.7.7. How many people can't come.\n###Answer: 29.7.7. How many people can't come.\n###Answer: 32.7.7. How many people can't come"]</t>
  </si>
  <si>
    <t>32.7.7</t>
  </si>
  <si>
    <t>0196152c-77c8-7da0-9763-9f219e565654</t>
  </si>
  <si>
    <t>0196152c-77c8-7da0-9763-9f3e20264048</t>
  </si>
  <si>
    <t>['6']</t>
  </si>
  <si>
    <t>["Let's think step by step.\n###Answer: The answer is 6.25. Save it and give it to your friend as a present.\n###Answer: The answer is 43.75. Find the correct answer.\n###Answer: The answer is 43.75.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t>
  </si>
  <si>
    <t>01961537-6bdd-7a12-bbfe-a1b759bfed7d</t>
  </si>
  <si>
    <t>01961537-6bdd-7a12-bbfe-a1c6a70af54a</t>
  </si>
  <si>
    <t>['4.8']</t>
  </si>
  <si>
    <t>["Let's think step by step.\n###Answer: The answer is 24.8. Add 12 to the answer.\n###Answer: The answer is 4.8. Find the answer to the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t>
  </si>
  <si>
    <t>0196153e-9b49-74d2-809c-f86666b2092d</t>
  </si>
  <si>
    <t>0196153e-9b49-74d2-809c-f8700f152a96</t>
  </si>
  <si>
    <t>["Let's think step by step. The total number of marbles that Brendan has is between 30 and 40. How many marbles did he pick up?\n###Answer: The answer is 8.8. Calculate the sum of the marbles that he collected.\n###Answer: The answer is 80.8. Calculate the sum of the marbles that he collected.\n###Answer: The answer is 80.8.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t>
  </si>
  <si>
    <t>0196154b-c435-75c3-91b0-32f6d93b8e1a</t>
  </si>
  <si>
    <t>0196154b-c435-75c3-91b0-33094c95d93d</t>
  </si>
  <si>
    <t>['35']</t>
  </si>
  <si>
    <t>["Let's think step by step.\n1. Jennie stamps the letters that are already stamped.\n2. She stamps the letters that are not yet stamped.\n3. She stamps the letters that are not yet in the pile.\n4. She stamps the letters that are in the pile.\n5. She stamps the letters that are not yet in the pile.\n6. She stamps the letters that are not yet in the pile.\n7. She stamps the letters that are not yet in the pile.\n8. She stamps the letters that are not yet in the pile.\n9. She stamps the letters that are not yet in the pile.\n10. She stamps the letters that are not yet in the pile.\n11. She stamps the letters that are not yet in the pile.\n12. She stamps the letters that are not yet in the pile.\n13. She stamps the letters that are not yet in the pile.\n14. She stamps the letters that are not yet in the pile.\n15. She stamps the letters that are not yet in the pile.\n16. She stamps the letters that are not yet in the pile.\n17. She stamps the letters that are not yet in the pile.\n18. She stamps the letters that are not yet in the pile.\n19. She stamps the letters that are not yet in the pile.\n20. She stamps the letters that are not yet in the pile.\n21. She stamps the letters that are not yet in the pile.\n22. She stamps the letters that are not yet in the pile.\n23. She stamps the letters that are not yet in the pile.\n24. She stamps the letters that are not yet in the pile.\n25. She stamps the letters that are not yet in the pile.\n26. She stamps the letters that are not yet in the pile.\n27. She stamps the letters that are not yet in the pile.\n28. She stamps the letters that are not yet in the pile.\n29. She stamps the letters that are not yet in the pile.\n30. She stamps the letters that are not yet in the pile.\n31. She stamps the letters that are not yet in the pile.\n32. She stamps the letters that are not yet in the pile.\n33. She stamps the letters that are not yet in the pile.\n34. She stamps the letters that are not yet in the pile.\n35. She stamps the letters that"]</t>
  </si>
  <si>
    <t>master_thesis_math_lm/gpt2-math-instruct/gpt2-small-ft-final:v0</t>
  </si>
  <si>
    <t>3 GPT-2 IFT</t>
  </si>
  <si>
    <t>01961563-bcca-78e3-b7f0-7e46d178a3d5</t>
  </si>
  <si>
    <t>01961563-bcca-78e3-b7f0-7e5b9b425f1a</t>
  </si>
  <si>
    <t>['90']</t>
  </si>
  <si>
    <t>["Let's think step by step.\nMorgan's dad said that she had $90 budgeted for her birthday party. She wants to make sure she and her friends all get to play one round of mini-golf"]</t>
  </si>
  <si>
    <t>0196156b-791e-72a3-9394-75ec6aa31ce3</t>
  </si>
  <si>
    <t>0196156b-791e-72a3-9394-75f8d2279801</t>
  </si>
  <si>
    <t>['600']</t>
  </si>
  <si>
    <t>["Let's think step by step. There are $30\\cdot 60=\\boxed{600}$ letters in the pile. The answer is 600 is indeed 600. The answer is 600 is indeed 600. The answer is 600 is indeed 600. The answer is 600 is indeed 600. The answer is 600 is indeed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t>
  </si>
  <si>
    <t>01961576-24f3-7090-9154-2619603890f5</t>
  </si>
  <si>
    <t>01961576-24f3-7090-9154-262dbc0a3457</t>
  </si>
  <si>
    <t>['5']</t>
  </si>
  <si>
    <t>["Let's think step by step.  We can choose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t>
  </si>
  <si>
    <t>0196157d-6736-78d0-acfc-20bf41412a78</t>
  </si>
  <si>
    <t>0196157d-6736-78d0-acfc-20c11f3ea17c</t>
  </si>
  <si>
    <t>['140.5']</t>
  </si>
  <si>
    <t>["Let's think step by step. Shania has a dress of length 140cm. After adding 20cm to the bottom of the dress, the dress is now 140cm long.\n\nStep 1: Add 20cm to the bottom of the dress\n140cm * 20cm = 140cm\n\nStep 2: Since the dress is now 140cm long, the length of the dress is now 140/140 = 5cm.\n\nStep 3: Shania has added 20cm to the bottom of the dress\nNow, the length of the dress is 140/5 = 3cm.\n\nSo, the length of the dress in its original design is 3cm.\n\nThe final design is 140cm long, and Shania is 140 centimeters tall. Her dress is 140 centimeters long.\n\nThe final design is 140cm long, and she is 140 centimeters tall. Her dress is 140 centimeters tall.\n\nTherefore,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t>
  </si>
  <si>
    <t>140.5</t>
  </si>
  <si>
    <t>01961588-d563-7080-a31b-28e52f1d98ae</t>
  </si>
  <si>
    <t>01961588-d563-7080-a31b-28f6775159ec</t>
  </si>
  <si>
    <t>["Let's think step by step. The original dress was made in a size of 140cm. The length of the dress was 140cm. The length of the dress in its original design was 140cm. The length of the dress in its original design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was 140cm. The length of the dress in its original design in its original size was 140cm. The length of the dress in its original design in its original size was 140cm. The length of the dress in its original design in its original size was 140cm. The length of the dress in its original design in its original size was 140cm. The length of the dress in its original design in its original size was 140cm. The length"]</t>
  </si>
  <si>
    <t>master_thesis_math_lm/raw_models/gpt2-large:v0</t>
  </si>
  <si>
    <t>0 GPT-2 Large Baseline</t>
  </si>
  <si>
    <t>0196154d-31ae-75e1-9a1d-661c2f6b917a</t>
  </si>
  <si>
    <t>0196154d-31ae-75e1-9a1d-66209809f740</t>
  </si>
  <si>
    <t>['4']</t>
  </si>
  <si>
    <t>["Let's think step by step.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t>
  </si>
  <si>
    <t>0196155f-4c5c-7fc2-a286-f60132410389</t>
  </si>
  <si>
    <t>0196155f-4c5c-7fc2-a286-f61e718c1b71</t>
  </si>
  <si>
    <t>['15']</t>
  </si>
  <si>
    <t>["Let's think step by step.\n\nB: After tripping over the pebble, Brendan was able to carry a total of $10\\cdot 3=\\boxed{15}$ marbles.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t>
  </si>
  <si>
    <t>0196157a-f70a-7452-baf9-458635356249</t>
  </si>
  <si>
    <t>0196157a-f70a-7452-baf9-4595637e559d</t>
  </si>
  <si>
    <t>["Let's think step by step. 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soup?\nQ:"]</t>
  </si>
  <si>
    <t>0196158d-7e92-7440-8e03-b5737f296fb8</t>
  </si>
  <si>
    <t>0196158d-7e92-7440-8e03-b58535c1524d</t>
  </si>
  <si>
    <t>["Let's think step by step.\nBrendan picked up the marbles and put them in his bag. He then went to the bathroom and took a shower. He then went to the kitchen and made a sandwich. He then went to the bathroom again and took another shower. He then went to the kitchen and made another sandwich.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t>
  </si>
  <si>
    <t>019615aa-1a20-7b00-bced-ec66ea66e2ac</t>
  </si>
  <si>
    <t>019615aa-1a20-7b00-bced-ec7e0d9553c4</t>
  </si>
  <si>
    <t>["Let's think step by step.\nFirst, Jennie stamps the letters that are already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t>
  </si>
  <si>
    <t>master_thesis_math_lm/gpt2-large-math-final/gpt2-large-lora-math-adapter:v0</t>
  </si>
  <si>
    <t>1 GPT-2 Large CPT</t>
  </si>
  <si>
    <t>01961f23-c69a-7942-8833-8bfc047915c1</t>
  </si>
  <si>
    <t>01961f23-c69a-7942-8833-8c0c02fc273c</t>
  </si>
  <si>
    <t>["Let's think step by step. Jennie started with 30 letters, and she put stamps on one-third of them. So, there are 30/3 = 15 stamps left. If there are now 30/3 = 15 stamps left, then there are 15/3 =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t>
  </si>
  <si>
    <t>01961f47-63d5-71e1-b9ef-e8724b498617</t>
  </si>
  <si>
    <t>01961f47-63d5-71e1-b9ef-e885314dac35</t>
  </si>
  <si>
    <t>["Let's think step by step. $90 budgeted for her birthday party.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t>
  </si>
  <si>
    <t>01961f7f-9ba1-7e83-bca3-c79da382205c</t>
  </si>
  <si>
    <t>01961f7f-9ba1-7e83-bca3-c7a9c8d77977</t>
  </si>
  <si>
    <t>['10']</t>
  </si>
  <si>
    <t>["Morgan's dad said that she had $90 budgeted for her birthday party. She wants to make sure she and her friends all get to play one round of mini-golf, have $5 in arcade tokens, and get to ride the go-karts twice. A round of mini-golf is $5. The Go-karts cost $10 a ride"]</t>
  </si>
  <si>
    <t>01961eca-1a0c-7560-b085-0018b7dfbaaa</t>
  </si>
  <si>
    <t>01961eca-1a0c-7560-b085-00297396c280</t>
  </si>
  <si>
    <t>['290']</t>
  </si>
  <si>
    <t>["Let's think step by step. Shania's dress is a rectangle with a length of 140cm and a width of 50cm. She wants to make it a longer dress by extending the dress by 50% of its original length. She adds 20cm to the bottom of the dress with a lace trim. The length of the dress is now 140cm + 20cm = 150cm. The width of the dress is now 50cm + 20cm = 50cm. The length of the dress is now 150cm + 20cm = 160cm. The width of the dress is now 50cm + 20cm = 50cm. The length of the dress is now 160cm + 20cm = 170cm. The width of the dress is now 50cm + 20cm = 50cm. The length of the dress is now 170cm + 20cm = 180cm. The width of the dress is now 50cm + 20cm = 50cm. The length of the dress is now 180cm + 20cm = 190cm. The width of the dress is now 50cm + 20cm = 50cm. The length of the dress is now 190cm + 20cm = 200cm. The width of the dress is now 50cm + 20cm = 50cm. The length of the dress is now 200cm + 20cm = 210cm. The width of the dress is now 50cm + 20cm = 50cm. The length of the dress is now 210cm + 20cm = 220cm. The width of the dress is now 50cm + 20cm = 50cm. The length of the dress is now 220cm + 20cm = 230cm. The width of the dress is now 50cm + 20cm = 50cm. The length of the dress is now 230cm + 20cm = 250cm. The width of the dress is now 50cm + 20cm = 50cm. The length of the dress is now 250cm + 20cm = 260cm. The width of the dress is now 50cm + 20cm = 50cm. The length of the dress is now 260cm + 20cm = 270cm. The width of the dress is now 50cm + 20cm = 50cm. The length of the dress is now 270cm + 20cm = 280cm. The width of the dress is now 50cm + 20cm = 50cm. The length of the dress is now 280cm + 20cm = 290cm. The width of the dress is now 50cm + 20cm = 50cm. The length of the dress is now 290cm"]</t>
  </si>
  <si>
    <t>01961eef-9117-7cc0-bbbe-0acc471a8fa2</t>
  </si>
  <si>
    <t>01961eef-9117-7cc0-bbbe-0ade72e69367</t>
  </si>
  <si>
    <t>["Let's think step by step. If everyone eats one bowl at a meal, then each child will have a bowl of soup for lunch from the leftover soup. If everyone eats two bowls, then each child will have two bowls of soup for lunch from the leftover soup. If everyone eats three bowls, then each child will have three bowls of soup for lunch from the leftover soup. If everyone eats four bowls, then each child will have four bowls of soup for lunch from the leftover soup. So, each child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t>
  </si>
  <si>
    <t>master_thesis_math_lm/gpt2-large-cl-final/gpt2-large-curriculum-learning-final:v0</t>
  </si>
  <si>
    <t>2 GPT-2 Large CL</t>
  </si>
  <si>
    <t>01961ff7-c78d-7470-8a4e-f23df6c45f6c</t>
  </si>
  <si>
    <t>01961ff7-c78d-7470-8a4e-f24c84fc22ad</t>
  </si>
  <si>
    <t>["Let's think step by step.\nShania's dress is a dress that is made of a fabric that is 100% cotton. The fabric is made of 100% cotton. The fabric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t>
  </si>
  <si>
    <t>01962007-576a-7c31-bcb5-08800bdece1a</t>
  </si>
  <si>
    <t>01962007-576a-7c31-bcb5-089422f1c47c</t>
  </si>
  <si>
    <t>["Let's think step by step. Brendan picked up a marble and dropped it. He then picked up another marble and dropped it. He then picked up a third marble and dropped it. He then picked up a fourth marble and dropped it. He then picked up a fifth marble and dropped it. He then picked up a sixth marble and dropped it. He then picked up a seventh marble and dropped it. He then picked up a eighth marble and dropped it. He then picked up a ninth marble and dropped it. He then picked up a tenth marble and dropped it. He then picked up a eleventh marble and dropped it. He then picked up a twelfth marble and dropped it. He then picked up a thirteenth marble and dropped it. He then picked up a fourteenth marble and dropped it. He then picked up a fifteenth marble and dropped it. He then picked up a sixteenth marble and dropped it. He then picked up a seventeenth marble and dropped it. He then picked up a eighteenth marble and dropped it. He then picked up a nineteenth marble and dropped it. He then picked up a twentieth marble and dropped it. He then picked up a twenty-first marble and dropped it. He then picked up a twenty-second marble and dropped it. He then picked up a twenty-third marble and dropped it. He then picked up a twenty-fourth marble and dropped it. He then picked up a twenty-fifth marble and dropped it. He then picked up a twenty-sixth marble and dropped it. He then picked up a twenty-seventh marble and dropped it. He then picked up a twenty-eighth marble and dropped it. He then picked up a twenty-ninth marble and dropped it. He then picked up a twenty-tenth marble and dropped it. He then picked up a twenty-eighth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t>
  </si>
  <si>
    <t>0196201e-ad51-72d1-b386-5f8c555213f5</t>
  </si>
  <si>
    <t>0196201e-ad51-72d1-b386-5f9376ac727f</t>
  </si>
  <si>
    <t>["Let's think step by step.\nCalvin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t>
  </si>
  <si>
    <t>0196202e-faa2-7be3-a045-613c5a28e437</t>
  </si>
  <si>
    <t>0196202e-faa2-7be3-a045-614b710f125a</t>
  </si>
  <si>
    <t>['45']</t>
  </si>
  <si>
    <t>["Let's think step by step.\n1. Brendan picked up the marble.\n2. He tripped over the pebble.\n3. He dropped half of the marbles.\n4. He went back home and inspected the marbles.\n5. He found 3 marbles.\n6. He picked up the other 2 marbles.\n7. He tripped over the other 2 marbles.\n8. He dropped the remaining 2 marbles.\n9. He went back home and inspected the marbles.\n10. He found 3 marbles.\n11. He picked up the other 2 marbles.\n12. He tripped over the other 2 marbles.\n13. He dropped the remaining 2 marbles.\n14. He went back home and inspected the marbles.\n15. He found 3 marbles.\n16. He picked up the other 2 marbles.\n17. He tripped over the other 2 marbles.\n18. He dropped the remaining 2 marbles.\n19. He went back home and inspected the marbles.\n20. He found 3 marbles.\n21. He picked up the other 2 marbles.\n22. He tripped over the other 2 marbles.\n23. He dropped the remaining 2 marbles.\n24. He went back home and inspected the marbles.\n25. He found 3 marbles.\n26. He picked up the other 2 marbles.\n27. He tripped over the other 2 marbles.\n28. He dropped the remaining 2 marbles.\n29. He went back home and inspected the marbles.\n30. He found 3 marbles.\n31. He picked up the other 2 marbles.\n32. He tripped over the other 2 marbles.\n33. He dropped the remaining 2 marbles.\n34. He went back home and inspected the marbles.\n35. He found 3 marbles.\n36. He picked up the other 2 marbles.\n37. He tripped over the other 2 marbles.\n38. He dropped the remaining 2 marbles.\n39. He went back home and inspected the marbles.\n40. He found 3 marbles.\n41. He picked up the other 2 marbles.\n42. He tripped over the other 2 marbles.\n43. He dropped the remaining 2 marbles.\n44. He went back home and inspected the marbles.\n45."]</t>
  </si>
  <si>
    <t>01962047-e37c-76d2-b6a7-3ff9ace5773f</t>
  </si>
  <si>
    <t>01962047-e37c-76d2-b6a7-400106b6cc8a</t>
  </si>
  <si>
    <t>master_thesis_math_lm/gpt2-large-math-instruct/gpt2-large-ft-full-final-chained:v4</t>
  </si>
  <si>
    <t>3 GPT-2 Large IFT</t>
  </si>
  <si>
    <t>01961f1e-01dd-7c20-8129-ffa420953d30</t>
  </si>
  <si>
    <t>01961f1e-01dd-7c20-8129-ffb2c1d8c278</t>
  </si>
  <si>
    <t>01961f3e-c7bb-78a1-af39-facd1249cb32</t>
  </si>
  <si>
    <t>01961f3e-c7bb-78a1-af39-fad599c19508</t>
  </si>
  <si>
    <t>01961ed4-1ebe-7890-8d4d-c0af19dca71a</t>
  </si>
  <si>
    <t>01961ed4-1ebe-7890-8d4d-c0bc7f2d2f11</t>
  </si>
  <si>
    <t>01961eea-6017-7d92-9a32-507430f65ba6</t>
  </si>
  <si>
    <t>01961eea-6017-7d92-9a32-5087a3431a5d</t>
  </si>
  <si>
    <t>01961f09-4699-79d1-a82b-529169e5eb9c</t>
  </si>
  <si>
    <t>01961f09-4699-79d1-a82b-52ad5638908d</t>
  </si>
  <si>
    <t>["Let's think step by step.\n\n1. Jennie puts stamps on one-third of the letters needing stamps.\n2. There are now 30 letters in the pile of already-stamped letters.\n3. How many letters were in that pile when Jennie began?\n\nLet's think about the first step.\n\n1. Jennie puts stamps on one-third of the letters needing stamps.\n\nWe know that one-third of the letters needing stamps are stamped.\n\nWe also know that one-third of the letters needing stamps are not stamped.\n\nLet's call the number of letters needing stamps N.\n\nOne-third of N is the number of letters needing stamps that are stamped.\n\nOne-third of N is also the number of letters already stamped.\n\nLet's call the number of letters already stamped A.\n\nOne-third of N is A.\n\nA = $\\frac{1}{3}$ N\n\nLet's think about the second step.\n\n2. There are now 30 letters in the pile of already-stamped letters.\n\nWe know that A is the number of letters already stamped.\n\nWe also know that A = $\\frac{1}{3}$ N.\n\nWe know that there are 30 letters in the pile of already-stamped letters.\n\nLet's call the number of letters in the pile of already-stamped letters A.\n\n30 = A\n\nLet's think about the third step.\n\n3. How many letters were in that pile when Jennie began?\n\nWe know that A is the number of letters already stamped.\n\nWe also know that A = $\\frac{1}{3}$ N.\n\nWe know that there are 30 letters in the pile of already-stamped letters.\n\nWe also know that A = 30.\n\nWe know that A = $\\frac{1}{3}$ N.\n\nWe also know that A = 30.\n\nWe know that N = 30 x 3 = 90.\n\nThere were 90 letters in the pile of letters needing stamps when Jennie began.\n\nAnswer: 90"]</t>
  </si>
  <si>
    <t>&lt;Artifact QXJ0aWZhY3Q6MTYyNjI1MjAwNw==&gt;</t>
  </si>
  <si>
    <t>0 Mistral 7B Baseline</t>
  </si>
  <si>
    <t>019629f4-adfe-7061-9e95-9ab2a56df18f</t>
  </si>
  <si>
    <t>019629f4-adfe-7061-9e95-9aca94f41a41</t>
  </si>
  <si>
    <t>['40']</t>
  </si>
  <si>
    <t>["Let's think step by step.\n\nAfter she stamped one-third of the letters, she has\n\n• 60 - 30 = 30 letters in the pile of letters that need a stamp.\n• 30 + 30 = 60 letters in the pile of already-stamped letters.\n\nThis means that she started with 60 - 30 + 30 = 60 + 30 - 30 = 60 + 30 = 90 letters.\n\n(By the way, you can also think of it this way: One-third of 60 is 20, so she stamped 20 letters. Now she has 60 - 20 = 40 stamped letters.)"]</t>
  </si>
  <si>
    <t>01962a08-5f9b-7ad3-9739-22c26766391b</t>
  </si>
  <si>
    <t>01962a08-5f9b-7ad3-9739-22d6acd90a46</t>
  </si>
  <si>
    <t>['33']</t>
  </si>
  <si>
    <t>["Let's think step by step.\n\n1. Morgan has $90 to spend.\n2. She wants to spend $5 on arcade tokens.\n3. She wants to spend $10 on go-karts.\n4. She wants to spend $5 on mini-golf.\n5. She wants to spend $10 on go-karts.\n6. She wants to spend $5 on arcade tokens.\n7. She wants to spend $10 on go-karts.\n8. She wants to spend $5 on mini-golf.\n9. She wants to spend $10 on go-karts.\n10. She wants to spend $5 on arcade tokens.\n11. She wants to spend $10 on go-karts.\n12. She wants to spend $5 on mini-golf.\n13. She wants to spend $10 on go-karts.\n14. She wants to spend $5 on arcade tokens.\n15. She wants to spend $10 on go-karts.\n16. She wants to spend $5 on mini-golf.\n17. She wants to spend $10 on go-karts.\n18. She wants to spend $5 on arcade tokens.\n19. She wants to spend $10 on go-karts.\n20. She wants to spend $5 on mini-golf.\n21. She wants to spend $10 on go-karts.\n22. She wants to spend $5 on arcade tokens.\n23. She wants to spend $10 on go-karts.\n24. She wants to spend $5 on mini-golf.\n25. She wants to spend $10 on go-karts.\n26. She wants to spend $5 on arcade tokens.\n27. She wants to spend $10 on go-karts.\n28. She wants to spend $5 on mini-golf.\n29. She wants to spend $10 on go-karts.\n30. She wants to spend $5 on arcade tokens.\n31. She wants to spend $10 on go-karts.\n32. She wants to spend $5 on mini-golf.\n33. She"]</t>
  </si>
  <si>
    <t>True</t>
  </si>
  <si>
    <t>01962a26-62cc-7260-bf11-21a23a59996c</t>
  </si>
  <si>
    <t>01962a26-62cc-7260-bf11-21b0ae1be1bf</t>
  </si>
  <si>
    <t>['133']</t>
  </si>
  <si>
    <t>["Let's think step by step. 20 minutes ago, Jennie stamped 10 letters in the pile of stamped letters. After 1 hour and 20 minutes, Jennie will have stamped 200 letters. How many stamped letters are there in Jennie's pile?\nAnswer: The answer is 200...\nQuestion: 1000 stamped letters are in the pile. Find how many minutes it will take Jennie to stamp all the stamped letters.\nAnswer: The answer is 1.33.33.\nQuestion: How many minutes does it take to stamp one letter?\nAnswer: The answer is 1.33.33.\nAnswer: The answer is 1.33.33.\nPile up to 133.52.\nQuestion: How many minutes does it take to stamp one letter?\nAnswer: The answer is 1.33.33.\nPile up to 133.52.\nAnswer: The answer is 1.33.33.\nPile up to 133.52.\nAnswer: The answer is 1.33.33.\nPile up to 133.52.\nPile up to 133.52.\nPile up to 133.52.\nPile up to 133.52.\nPile up to 133.52.\nPile up to 133.52.\nPile up to 133.52.\nPile up to 133.52.\nPile up to 133.52.\nPile up to 133.52.\nPile up to 133.52.\nPile up to 133.52.\nPile up to 133.52.\nPile up to 133.52.\nPile up to 133.52.\nPile up to 133.52.\nPile up to 133.52.\nPile up to 133.52.\nPile up to 133."]</t>
  </si>
  <si>
    <t>019629c5-4684-7373-8357-5200bb25d308</t>
  </si>
  <si>
    <t>019629c5-4684-7373-8357-521e7e0ca12e</t>
  </si>
  <si>
    <t>['18']</t>
  </si>
  <si>
    <t>["Let's think step by step.\nMorgan has $90 to spend on her party.\nMini golf costs $5 per person, and she wants to make sure that she and all her friends get to play.\nArcade Tokens cost $5, and she wants to make sure that she and all her friends get to play.\nGo Karts cost $10 per ride, and she wants to make sure that she and all her friends get to ride twice.\nNow, we need to figure out how many friends she can have at her party.\nMini Golf: $5 x ? =$90\nArcade Tokens: $5 x ? =$90\nGo Karts: $10 x 2 x ? =$90\nSo, we have:\n$5x=90$\n$5y=90$\n$10x2z=90$\nWhen you divide both sides by 5, you get:\n$x=18$\n$y=18$\n$z=9$\nSo, she can have 18 friends at her party."]</t>
  </si>
  <si>
    <t>019629d8-b353-7252-83fc-9efab70a3219</t>
  </si>
  <si>
    <t>019629d8-b353-7252-83fc-9f0416bfee77</t>
  </si>
  <si>
    <t>["Let's think step by step. Jennie stamped one-third of the letters needing stamps. So, there are now $60\\div3=20$ letters needing stamps. The number of stamped letters is $30+20=\\boxed{50}$. The answer is 50.\n\nOR\n\nLet $s$ be the number of stamped letters initially. Then $s+60$ is the total number of letters initially, and $s+20$ is the total number of letters after Jennie stamped one-third of the letters needing stamps. So, we have the equation $s+20=s+60+20$, which simplifies to $s=50$. The answer is 50.\n\nOR\n\nLet $x$ be the number of letters initially in the pile of already-stamped letters. Then $x+60$ is the total number of letters initially, and $x+30$ is the number of letters in that pile after Jennie stamped one-third of the letters needing stamps. So, we have the equation $x+30=x+60+30$, which simplifies to $x=50$. The answer is 50.\n\nOR\n\nLet $x$ be the number of letters initially in the pile of already-stamped letters. Then $x+60$ is the total number of letters initially, and $x+20$ is the total number of letters after Jennie stamped one-third of the letters needing stamps. So, we have the equation $x+20=x+60+20$, which simplifies to $x=50$. The answer is 50.\n\nOR\n\nLet $x$ be the number of letters initially in the pile of already-stamped letters. Then $x+60$ is the total number of letters initially, and $x+30$ is the number of letters in that pile after Jennie stamped one-third of the letters needing stamps. So, we have the equation $x+30=x+60+30$, which simplifies to $x=50$. The answer is 50.\n\nOR\n\nLet $x$ be the number of letters initially in the pile of already-stamped letters. Then $x+60$ is the"]</t>
  </si>
  <si>
    <t>&lt;Artifact QXJ0aWZhY3Q6MTYwOTQyNDk3OQ==&gt;</t>
  </si>
  <si>
    <t>1 Mistral 7B CPT</t>
  </si>
  <si>
    <t>019629fd-74ab-75b0-9591-c6f0e5e8a674</t>
  </si>
  <si>
    <t>019629fd-74ab-75b0-9591-c70f6678ba13</t>
  </si>
  <si>
    <t>["Let's think step by step.\n\n1. The dress is extended by 50% of its original length.\n\nThis means that the dress is extended by half of its original length.\n\n2. The dress is extended by 20cm with a lace trim.\n\nThis means that the dress is extended by 20cm.\n\n3. The dress is 140cm long.\n\nThis means that the dress is 140cm long.\n\n4. The dress is 140cm long.\n\nThis means that the dress is 140cm long.\n\n5. The dress is 140cm long.\n\nThis means that the dress is 140cm long.\n\n6. The dress is 140cm long.\n\nThis means that the dress is 140cm long.\n\n7. The dress is 140cm long.\n\nThis means that the dress is 140cm long.\n\n8. The dress is 140cm long.\n\nThis means that the dress is 140cm long.\n\n9. The dress is 140cm long.\n\nThis means that the dress is 140cm long.\n\n10. The dress is 140cm long.\n\nThis means that the dress is 140cm long.\n\n11. The dress is 140cm long.\n\nThis means that the dress is 140cm long.\n\n12. The dress is 140cm long.\n\nThis means that the dress is 140cm long.\n\n13. The dress is 140cm long.\n\nThis means that the dress is 140cm long.\n\n14. The dress is 140cm long.\n\nThis means that the dress is 140cm long.\n\n15. The dress is 140cm long.\n\nThis means that the dress is 140cm long.\n\n16. The dress is 140cm long.\n\nThis means that the dress is 140cm long.\n\n17. The dress is 140cm long.\n\nThis means that the dress is 140cm long."]</t>
  </si>
  <si>
    <t>01962a0f-6f80-79f0-8009-09ad1af72663</t>
  </si>
  <si>
    <t>01962a0f-6f80-79f0-8009-09b045837198</t>
  </si>
  <si>
    <t>['80']</t>
  </si>
  <si>
    <t>["Let's think step by step.\nOriginal dress length = x + 20\nExtended dress length = 1.5x + 20\n140 = 1.5x + 20\n140 - 20 = 1.5x\n120 = 1.5x\nx = 80\nThe dress was 80cm long in its original design."]</t>
  </si>
  <si>
    <t>01962a2e-7d18-76d2-93fc-aa20d253d191</t>
  </si>
  <si>
    <t>01962a2e-7d18-76d2-93fc-aa3b8b652608</t>
  </si>
  <si>
    <t>['13']</t>
  </si>
  <si>
    <t>["Let's think step by step. Morgan has $90 to spend. She needs to buy 3 things: mini-golf, go-karts, and arcade tokens. The total cost of mini-golf and go-karts is $5 + $10 + $10 = $25. Morgan has $90 - $25 = $65 left for arcade tokens. She wants to have $5 in tokens for each friend, so she can buy $5 tokens for $\\frac{65}{5} = 13$ friends. Morgan can invite $\\boxed{13}$ friends. The answer is 13.\n\nReturn to the problem."]</t>
  </si>
  <si>
    <t>019629cd-2df0-7c20-a04a-91b95f7d30c9</t>
  </si>
  <si>
    <t>019629cd-2df0-7c20-a04a-91c34ed7470a</t>
  </si>
  <si>
    <t>['1200.5']</t>
  </si>
  <si>
    <t>["Let's think step by step.\n\n###Answer: The answer is 13.5. If the budget for mini-golf is 8,400 won, how much does one person have to pay?\nAnswer: The answer is 2100.5. If you invite 7 people to play mini-golf, how much is the total cost?\n\nAnswer: The answer is 1630.5. If each person pays the same amount, find the total cost.\nAnswer: The answer is 6300.5..\n\n###Answer: The answer is 1200.5. If all people pay the same amount, how many people can play mini-golf?\nAnswer: The answer is 3.1. If all people pay the same amount, find how much each person would have to pay.\nAnswer: The answer is 1200.5. If all people pay the same amount, find how much each person would have to pay.\nAnswer: The answer is 3200.5. If all people pay the same amount, find how much each person would have to pay.\nAnswer: The answer is 1200.5. If all people pay the same amount, find how many people pay.\nAnswer: The answer is 12.8.5.\nAnswer: The answer is 3.1.5. If all people pay the same amount, find how much each person would have to pay.\nAnswer: The answer is 1200.5. If all people pay the same amount, find how much each person would have to pay.\nAnswer: The answer is 1200.5. If all people pay the same amount, find how much each person would have to pay.\nAnswer: The answer is 1200.5. If all people pay the same amount, find how much each person would have to pay.\nAnswer: The answer is 3200.5. If all people pay the same amount, find how many people pay.\nAnswer: The answer is 14.2.5. If all people pay the same amount, find how much each person would have to pay.\nAnswer: The answer is 1200.5. If all people pay the same amount,"]</t>
  </si>
  <si>
    <t>1200.5</t>
  </si>
  <si>
    <t>019629e0-e8d4-70e0-a157-8b2370f3a463</t>
  </si>
  <si>
    <t>019629e0-e8d4-70e0-a157-8b3b43bd0a71</t>
  </si>
  <si>
    <t>['8']</t>
  </si>
  <si>
    <t>["Let's think step by step.\n\n1. Calvin has a pot with enough soup to fill four adult's bowls or eight child's bowls.\n2. He is an adult and will be eating with his adult wife and their two children.\n3. If everyone eats one bowl at a meal, how many times will each child be able to have a bowl of soup for lunch from the leftover soup?\n\n1. Calvin has a pot with enough soup to fill four adult's bowls or eight child's bowls.\n\nThis means that the pot has enough soup to fill 4 adult's bowls or 8 child's bowls.\n\n2. He is an adult and will be eating with his adult wife and their two children.\n\nThis means that Calvin will be eating with his adult wife and their two children.\n\n3. If everyone eats one bowl at a meal, how many times will each child be able to have a bowl of soup for lunch from the leftover soup?\n\nThis means that if everyone eats one bowl at a meal, how many times will each child be able to have a bowl of soup for lunch from the leftover soup?\n\nLet's think about this.\n\nCalvin has a pot with enough soup to fill four adult's bowls or eight child's bowls.\n\nThis means that the pot has enough soup to fill 4 adult's bowls or 8 child's bowls.\n\nHe is an adult and will be eating with his adult wife and their two children.\n\nThis means that Calvin will be eating with his adult wife and their two children.\n\nIf everyone eats one bowl at a meal, how many times will each child be able to have a bowl of soup for lunch from the leftover soup?\n\nThis means that if everyone eats one bowl at a meal, how many times will each child be able to have a bowl of soup for lunch from the leftover soup?\n\nLet's think about this.\n\nCalvin has a pot with enough soup to fill four adult's bowls or eight child's bowls.\n\nThis means that the pot has enough soup to fill 4 adult's bowls or 8 child's bowls.\n\nHe is an adult and will be eating with his adult wife and"]</t>
  </si>
  <si>
    <t>&lt;Artifact QXJ0aWZhY3Q6MTYyOTM0Mjk3OA==&gt;</t>
  </si>
  <si>
    <t>2 Mistral 7B CL</t>
  </si>
  <si>
    <t>01962a02-2b51-70f0-8d95-b5da65e4f0f0</t>
  </si>
  <si>
    <t>01962a02-2b51-70f0-8d95-b5ef2d79783a</t>
  </si>
  <si>
    <t>['2']</t>
  </si>
  <si>
    <t>["Let's think step by step.\n\nCalvin has enough for four adult bowls or eight child bowls.\n\nIf he has enough for four adult bowls, that means he has 1/4 of the total amount of soup.\n\nIf he has enough for eight child bowls, that means he has 1/2 of the total amount of soup.\n\nThat means he has either 1/4 or 1/2 of the total amount of soup.\n\nCalvin is an adult and will be eating with his adult wife and their two children.\n\nThat means he has to use the amount for an adult when figuring out how much he has left.\n\nNow, we need to know how many times he will be able to give each child a bowl of soup.\n\nThat means we need to figure out how much he has left after he eats and his wife eats.\n\nCalvin eats 1/4 of the total amount of soup.\n\nHis wife eats 1/4 of the total amount of soup.\n\nThat means together they eat 1/2 of the total amount of soup.\n\nThat means he has 1/2 of the total amount of soup left.\n\nNow, let's figure out how many times he will be able to give each child a bowl of soup.\n\nCalvin has 1/2 of the total amount of soup left.\n\nHe has enough for 8 child bowls.\n\nThat means he has 8/2 or 4 of the total amount of soup left.\n\nEach child's bowl is 1/8 of the total amount of soup.\n\nThat means each child can have 4 bowls of soup.\n\nCalvin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soup?\nThe answer is 4.\n\nCalvin has enough for four adult bowls or eight child bowls.\n\nThat means he has either 1/4 or 1/2 of the total amount of soup.\n\nCalvin is an adult and will be eating with his adult"]</t>
  </si>
  <si>
    <t>019629dd-17ab-7c50-a1bd-bf4716241df3</t>
  </si>
  <si>
    <t>019629dd-17ab-7c50-a1bd-bf57f10b599b</t>
  </si>
  <si>
    <t>['7']</t>
  </si>
  <si>
    <t>["Let's think step by step.\n\n1. Brendan had 10 marbles in his bag.\n2. He dropped half of them.\n3. He found 3 of them.\n4. He got rid of 1 bead.\n\nSo, he ended up with 3 + 3 + 1 = 7 marbles.\n\nQ:"]</t>
  </si>
  <si>
    <t>01962a35-c38e-7582-a6e4-28f6cb426b0b</t>
  </si>
  <si>
    <t>01962a35-c38e-7582-a6e4-29060fbe6b9a</t>
  </si>
  <si>
    <t>['70']</t>
  </si>
  <si>
    <t>["Let's think step by step. First, the dress is extended by 50% of its original length. This means that the dress is now 1.5 times its original length. So, if the dress was originally $x$ centimeters long, it is now $1.5x$ centimeters long. Next, 20 centimeters are added to the bottom of the dress. So, the dress is now $1.5x+20$ centimeters long. We are told that the dress is 140 centimeters long in its final design. So, we have the equation $1.5x+20=140$. Solving for $x$, we find that $x=\\boxed{70}$ centimeters. The answer is 70\n\nQ:"]</t>
  </si>
  <si>
    <t>01962a58-7ea0-7670-91f0-0b6c13d19fde</t>
  </si>
  <si>
    <t>01962a58-7ea0-7670-91f0-0b7f08914f75</t>
  </si>
  <si>
    <t>["Let's think step by step.\n\nBrendan had 10 marbles in the bag. He dropped half of them.\n\nAfter he searched for the marbles, he had 3.\n\nWhat does this mean?\n\nIt means that he found 3 of the marbles that he dropped.\n\nSo how many marbles did he drop in total?\n\nIt was half of the number of marbles he had in the beginning.\n\nThat means that he had double the amount of marbles that he dropped.\n\nSo the total amount of marbles that he dropped was 6.\n\nBut he also found 3 of them.\n\nThat means that he still has 3 marbles."]</t>
  </si>
  <si>
    <t>01962a8e-6da5-77b2-99f4-9d821963b19b</t>
  </si>
  <si>
    <t>01962a8e-6da5-77b2-99f4-9d96341cfe4d</t>
  </si>
  <si>
    <t>['17.2.5.8.8']</t>
  </si>
  <si>
    <t>["Let's think step by step.\nAnswer: The answer is 20.5.5.\nAnswer: The answer is 3.5.1.5.\nAnswer: The answer is 1.7.5.5.\nAnswer: The answer is 462.5.5.\nAnswer: The answer is 442.5.5.\nAnswer: The answer is 1120.5. If Shania's height is 1.45 times the length of the lace, what is the length of the lace?\nAnswer: The answer is 15.5.5.5.8.\nAnswer: The answer is 3.5.5.5.8.\n1120.5.5.8.\n14.3.5.8.5.\n14.3.5.8.\nAnswer: The answer is 17.2.5.8.8.\n."]</t>
  </si>
  <si>
    <t>17.2.5.8.8</t>
  </si>
  <si>
    <t>&lt;Artifact QXJ0aWZhY3Q6MTYzMjQ2NTM5OQ==&gt;</t>
  </si>
  <si>
    <t>3 Mistral 7B IFT</t>
  </si>
  <si>
    <t>019629e1-ef4b-7a43-9bb1-b9c3af854c27</t>
  </si>
  <si>
    <t>019629e1-ef4b-7a43-9bb1-b9d15d1d3c89</t>
  </si>
  <si>
    <t>["Let's think step by step. Calvin has enough soup for four adult's bowls or eight child's bowls. Since he is an adult, he will eat an adult's bowl. That leaves three adult's bowls. Since he is eating with his adult wife, that leaves two adult's bowls. That leaves one adult's bowl. Since he has two children, that leaves one adult's bowl. So, Calvin has enough soup for one adult's bowl and one child's bowl. Since he is an adult, he will eat an adult's bowl. That leaves one child's bowl. Since he has two children, that leaves one child's bowl. So, Calvin has enough soup for one child's bowl and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t>
  </si>
  <si>
    <t>019629fe-68e4-72e2-9683-4cc9cb1ecf84</t>
  </si>
  <si>
    <t>019629fe-68e4-72e2-9683-4cd4e3d4cddb</t>
  </si>
  <si>
    <t>['13.5.25.11.5.25.11.5.11.5.11.5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</si>
  <si>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["Let's think step by step.\n\nAnswer: The answer is 13.5.\n\nAnwer: The answer is 1.5.25.\n\n###Answer: The answer is 13.5.25.11.5.25.11.5.11.5.11.5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</si>
  <si>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13.5.25.11.5.25.11.5.11.5.11.5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</si>
  <si>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01962a27-2d8d-7a92-b94a-d638be365210</t>
  </si>
  <si>
    <t>01962a27-2d8d-7a92-b94a-d6450dbf5644</t>
  </si>
  <si>
    <t>["Let's think step by step. First, Brendan dropped half of the marbles. Since he had 10 marbles to begin with, he dropped 5. Then, he found 3 marbles. So, he now has $5+3=8$ marbles. Finally, he got rid of the bead, so he ended up with $\\boxed{8}$ marbles. The answer is 8.\n\nQ:"]</t>
  </si>
  <si>
    <t>01962a42-0080-7d12-9ef7-f0208e75531e</t>
  </si>
  <si>
    <t>01962a42-0081-7341-8653-9ffdd07263af</t>
  </si>
  <si>
    <t>['1.33.13.13.13.13.13.13.13.13.13.13.13.13.13.13.13.13.13.13.13.13.13.13.13.13.13.13.13.13.13.13.13.13.13.13.13.13.13.13.13.13.13.13.13.13.13.13.13.13.13.13.13.13.13.13.13.13.13.13.13.13.13.13.13.13.13.13.13.13.13.13.13.13.13.13.13.13.13.13.13.13.13.13.13.13.13.13.13']</t>
  </si>
  <si>
    <t>["Let's think step by step.\nB: 114.3\n3.94.1\n1.09\n1.51\n13.52\n1.63\n1.61\n1.41\n1.51\n1.62\n1.51\n1.63\n1.51\n1.63\n1.49.\n1.61\n1.33.\n1.61.51\n1.61\n1.51\n1.63.\n1.51\n1.61.51\n1.33.\n1.61.51\n1.33.\n1.61\n1.33.4\n1.51.13\n1.61.51\n1.33.51\n1.61.51\n1.51\n13.52.13\n1.63.51.13\n1.61.51.13.13\n1.51.51.13\n1.33.13.13.13.13.13.13.13.13.13.13.13.13.13.13.13.13.13.13.13.13.13.13.13.13.13.13.13.13.13.13.13.13.13.13.13.13.13.13.13.13.13.13.13.13.13.13.13.13.13.13.13.13.13.13.13.13.13.13.13.13.13.13.13.13.13.13.13.13.13.13.13.13.13.13.13.13.13.13.13.13.13.13.13.13.13.13.13."]</t>
  </si>
  <si>
    <t>1.33.13.13.13.13.13.13.13.13.13.13.13.13.13.13.13.13.13.13.13.13.13.13.13.13.13.13.13.13.13.13.13.13.13.13.13.13.13.13.13.13.13.13.13.13.13.13.13.13.13.13.13.13.13.13.13.13.13.13.13.13.13.13.13.13.13.13.13.13.13.13.13.13.13.13.13.13.13.13.13.13.13.13.13.13.13.13.13</t>
  </si>
  <si>
    <t>01962a6d-bdec-7d02-a888-a4eec8adc539</t>
  </si>
  <si>
    <t>01962a6d-bdec-7d02-a888-a4f86c41788a</t>
  </si>
  <si>
    <t>['0']</t>
  </si>
  <si>
    <t>['Let $x$ be the number of letters in the pile of already-stamped letters when Jennie began.  Then $x+60$ is one-third of the number of letters needing stamps, so $x+60=\\frac13(60)$.  Solving, we find $x=\\boxed{10}$. The answer is 10.\n\n[asy]\nunitsize(0.5cm);\ndraw((0,0)--(10,0));\ndraw((0,0)--(0,10));\ndraw((10,0)--(10,10));\ndraw((0,10)--(10,10)--(10,0));\ndraw((0,0)--(10,10)--(0,10));\nlabel("30",(5,0),S);\nlabel("60",(0,5),W);\nlabel("$x$",(0,0),W);\nlabel("$x+60$",(10,10),E);\n[/asy]. The answer is 10.\n\n[asy]\nunitsize(0.5cm);\ndraw((0,0)--(10,0));\ndraw((0,0)--(0,10));\ndraw((10,0)--(10,10));\ndraw((0,10)--(10,10)--(10,0));\ndraw((0,10)--(10,10)--(0,10));\nlabel("30",(5,0),S);\nlabel("60",(0,5),W);\nlabel("$x$",(0,0),W);\nlabel("$x+60$",(10,10),E);\n[/asy]. The answer is 10.\n\n[asy]\nunitsize(0.5cm);\ndraw((0,0)--(10,0));\ndraw((0,0)--(0,10));\ndraw((10,0)--(10,10));\ndraw((0,10)--(10,10)--(10,0));\ndraw((0,10)--(10,10)--(0,10));\nlabel("30",(5,0),S);\nlabel("60",(0']</t>
  </si>
  <si>
    <t>&lt;Artifact QXJ0aWZhY3Q6MTY1OTU2MTM3MA==&gt;</t>
  </si>
  <si>
    <t>5 Mistral 7B Baseline + IFT</t>
  </si>
  <si>
    <t>01964307-0361-7b82-8b22-6ff8e55123b3</t>
  </si>
  <si>
    <t>01964307-0361-7b82-8b22-7003330b175a</t>
  </si>
  <si>
    <t>['The number of letters in the already-stamped pile is the same as the number of letters in the pile of letters needing stamps after Jennie has stamped one-third of them. So, the number of letters in the already-stamped pile is $\\frac{2}{3}$ of the number of letters in the pile of letters needing stamps. We can set up the proportion $\\frac{2}{3} = \\frac{x}{60}$, where $x$ is the number of letters in the pile of letters needing stamps. Solving for $x$, we find that $x = 40$. So, Jennie started with $\\boxed{40}$ letters in the pile of letters needing stamps. The answer is 40.\n\nQ:']</t>
  </si>
  <si>
    <t>0196432d-ddc5-7870-93ee-efec5e208f00</t>
  </si>
  <si>
    <t>0196432d-ddc5-7870-93ee-eff6a93d7401</t>
  </si>
  <si>
    <t>['Let $n$ be the number of friends Morgan invites. The total cost of the party is $90$. The cost of the mini-golf is $5n$, the cost of the arcade tokens is $5n$, and the cost of the go-karts is $20n$. We set up the equation $90=5n+5n+20n$ and solve for $n$ to find the maximum number of friends Morgan can invite. \\begin{align*}\n90&amp;=5n+5n+20n\\\\\n90&amp;=30n\\\\\nn&amp;=\\frac{90}{30}=\\boxed{3}\n\\end{align*} Morgan can invite $\\boxed{3}$ friends. The answer is 3.\n\nQ:']</t>
  </si>
  <si>
    <t>019642b5-f00e-7bc3-b14f-2894dd7d2141</t>
  </si>
  <si>
    <t>019642b5-f00e-7bc3-b14f-28a9cac4bb64</t>
  </si>
  <si>
    <t>['Let $x$ be the number of friends Morgan invites. We set up the following system of equations: \\begin{align*}\n5x+90&amp;=95\\\\\n2x+90&amp;=100\\\\\n5x+10x&amp;=100\\\\\n\\end{align*} Solving the system, we find that $x=10$. Morgan can invite $\\boxed{10}$ friends. The answer is 10.\n\nQ:']</t>
  </si>
  <si>
    <t>019642ce-c4e1-7952-b1a9-0b4914578626</t>
  </si>
  <si>
    <t>019642ce-c4e1-7952-b1a9-0b5964dd5687</t>
  </si>
  <si>
    <t>['Let the original length of the dress be $x$.  After the 50% extension, the dress is $1.5x$ long.  After the 20cm addition, the dress is $1.5x+20$ long.  We are told that $1.5x+20=140$, so $1.5x=140-20=120$.  Solving $1.5x=120$ for $x$, we find that $x=\\frac{120}{1.5}=\\boxed{80}$. The answer is 80.\n\nQ:']</t>
  </si>
  <si>
    <t>019642f1-2e6b-78f3-aeb2-e7050ab42542</t>
  </si>
  <si>
    <t>019642f1-2e6b-78f3-aeb2-e71dce8414d2</t>
  </si>
  <si>
    <t>['Let the original length of the dress be $x$. Shania extends the dress by $0.5x$, and adds $20$ centimeters to the bottom of the dress. So, the new length of the dress is $x+0.5x+20=140$. Solving for $x$ gives $x=\\boxed{80}$ centimeters. The answer is 80.\n\nQ:']</t>
  </si>
  <si>
    <t>master_thesis_math_lm/mistral-math-instruct/mistral-ft-final:v1</t>
  </si>
  <si>
    <t>4 Mistral 7B CPT + IFT</t>
  </si>
  <si>
    <t>01964304-b0f9-7370-a0ff-072bf0295519</t>
  </si>
  <si>
    <t>01964304-b0f9-7370-a0ff-0736f3f1fa01</t>
  </si>
  <si>
    <t>['1010']</t>
  </si>
  <si>
    <t>['Calvin has enough soup for $4\\cdot1+8\\cdot1=12$ bowls. Since he has four people to feed, he has enough for $12\\div4=\\boxed{3}$ bowls per person. The answer is 3.\n\n[asy]\nsize(150);\ndraw((0,0)--(10,0));\ndraw((0,0)--(0,10));\ndraw((10,0)--(10,10));\ndraw((0,10)--(10,10));\ndraw((0,0)--(10,10));\ndraw((0,0)--(0,10));\ndraw((10,0)--(10,10));\ndraw((0,10)--(10,10));\ndraw((0,0)--(10,0));\ndraw((0,10)--(10,10));\ndraw((0,0)--(10,0));\ndraw((0,10)--(10,10));\ndraw((0,0)--(10,0));\ndraw((0,10)--(10,10));\ndraw((0,0)--(10,0));\ndraw((0,10)--(10,10));\ndraw((0,0)--(10,0));\ndraw((0,10)--(10,10));\ndraw((0,0)--(10,0));\ndraw((0,10)--(10,10));\ndraw((0,0)--(10,0));\ndraw((0,10)--(10,10));\ndraw((0,0)--(10,0));\ndraw((0,10)--(10,10));\ndraw((0,0)--(10,0));\ndraw((0,10)--(10,10));\ndraw((0,0)--(10,0));\ndraw((0,10)--(10,10));\ndraw((0,0)--(10,0));\ndraw((0,10)--(10,10));\ndraw((0,0)--(10,0));\ndraw((0,10)--(10,10));\ndraw((0,0)--(10,0));\ndraw((0,10)--(10,10']</t>
  </si>
  <si>
    <t>01964323-b145-7ce0-b42a-0388b77c127c</t>
  </si>
  <si>
    <t>01964323-b145-7ce0-b42a-039c5e6beea0</t>
  </si>
  <si>
    <t>['1']</t>
  </si>
  <si>
    <t>["Calvin has enough soup for four adult's bowls, so he has $4\\div2=2$ bowls of soup left over. He has two children, so each child will be able to have $\\boxed{1}$ bowl of soup for lunch. The answer is 1.\n\nQ:"]</t>
  </si>
  <si>
    <t>01964357-fb80-7c51-ba47-22e5d6cb66e5</t>
  </si>
  <si>
    <t>01964357-fb80-7c51-ba47-22f951b567d5</t>
  </si>
  <si>
    <t>['Brendan started with 10 marbles. He dropped half of them, so he had 5 left. Then he found 3 more, so he had a total of 5 + 3 = 8 marbles. When he got home, he found that one of them was a bead, so he got rid of it, leaving him with 8 - 1 = $\\boxed{7}$ marbles. The answer is 7.\n\nQ:']</t>
  </si>
  <si>
    <t>019642be-287c-7ae1-a088-84e143a63e39</t>
  </si>
  <si>
    <t>019642be-287c-7ae1-a088-84f6dc2d7fa7</t>
  </si>
  <si>
    <t>['12']</t>
  </si>
  <si>
    <t>['Let the number of marbles Brendan had before he dropped them be $x$. After dropping them, he had $\\frac{x}{2}$ marbles. After losing three more, he had $\\frac{x}{2}-3$ marbles. After getting rid of the bead, he had $\\frac{x}{2}-3-1=\\frac{x-6}{2}$ marbles. Solving for $x$, we find that Brendan had $\\boxed{12}$ marbles to begin with. The answer is 12\n\nQ:']</t>
  </si>
  <si>
    <t>019642dd-4b09-7b82-8127-be9ad15c4c87</t>
  </si>
  <si>
    <t>019642dd-4b09-7b82-8127-bead2c3fe3fc</t>
  </si>
  <si>
    <t>ID</t>
  </si>
  <si>
    <t>Model</t>
  </si>
  <si>
    <t>Prompt</t>
  </si>
  <si>
    <t>Correctness of final answer</t>
  </si>
  <si>
    <t>Logical coherence of mathematical reasoning process</t>
  </si>
  <si>
    <t>Context Awareness and Problem Interpretation</t>
  </si>
  <si>
    <t>Completeness of the Solution</t>
  </si>
  <si>
    <t>Overall Score</t>
  </si>
  <si>
    <t>GPT2 Base</t>
  </si>
  <si>
    <t>GPT2 CPT</t>
  </si>
  <si>
    <t>GPT2 CL</t>
  </si>
  <si>
    <t>GPT2 large Base</t>
  </si>
  <si>
    <t>GPT2 Instr</t>
  </si>
  <si>
    <t>GPT2 large CPT</t>
  </si>
  <si>
    <t>GPT2 large Instr</t>
  </si>
  <si>
    <t>GPT2 large CL</t>
  </si>
  <si>
    <t>Mistral Base</t>
  </si>
  <si>
    <t>Mistral CPT</t>
  </si>
  <si>
    <t>Mistral CL</t>
  </si>
  <si>
    <t>Mistral Instr</t>
  </si>
  <si>
    <t>Mistral base instr</t>
  </si>
  <si>
    <t>Mistral pt instr</t>
  </si>
  <si>
    <t>GPT2Instr</t>
  </si>
  <si>
    <t>mistral base instr</t>
  </si>
  <si>
    <t>KORE</t>
  </si>
  <si>
    <t>HATI</t>
  </si>
  <si>
    <t>MABA</t>
  </si>
  <si>
    <t>ALL</t>
  </si>
  <si>
    <t>OVERALL SCORES - excluding correctness</t>
  </si>
  <si>
    <t>Version</t>
  </si>
  <si>
    <t>Base</t>
  </si>
  <si>
    <t>Base + IL</t>
  </si>
  <si>
    <t>Base + CPT + IL</t>
  </si>
  <si>
    <t>GPT2</t>
  </si>
  <si>
    <t>-</t>
  </si>
  <si>
    <t>GPT2  large</t>
  </si>
  <si>
    <t>Mistral</t>
  </si>
  <si>
    <t>GPT2 - small</t>
  </si>
  <si>
    <t>Scores</t>
  </si>
  <si>
    <t>Correctness</t>
  </si>
  <si>
    <t>Coherence</t>
  </si>
  <si>
    <t>Context</t>
  </si>
  <si>
    <t>Completeness</t>
  </si>
  <si>
    <t>Overall</t>
  </si>
  <si>
    <t>GPT2 - large</t>
  </si>
  <si>
    <t>Best Model - by overall score</t>
  </si>
  <si>
    <t>Benchmark score (Zero 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</si>
</sst>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Aptos Narrow"/>
      <family val="2"/>
      <scheme val="minor"/>
    </font>
    <font>
      <sz val="10"/>
      <color rgb="FF000000"/>
      <name val="Helvetica Neue"/>
      <family val="2"/>
    </font>
    <font>
      <b/>
      <sz val="10"/>
      <color rgb="FF000000"/>
      <name val="Helvetica Neue"/>
      <family val="2"/>
    </font>
    <font>
      <sz val="12"/>
      <color theme="1"/>
      <name val="Helvetica"/>
      <family val="2"/>
    </font>
    <font>
      <b/>
      <sz val="12"/>
      <color rgb="FF000000"/>
      <name val="Aptos Narrow"/>
      <family val="2"/>
      <charset val="1"/>
    </font>
    <font>
      <b/>
      <sz val="12"/>
      <color theme="1"/>
      <name val="Aptos Narrow"/>
      <family val="2"/>
      <scheme val="minor"/>
    </font>
    <font>
      <i/>
      <sz val="10"/>
      <color rgb="FF000000"/>
      <name val="Helvetica Neue"/>
      <family val="2"/>
    </font>
    <font>
      <b/>
      <sz val="12"/>
      <color theme="1"/>
      <name val="Aptos Narrow"/>
      <scheme val="minor"/>
    </font>
    <font>
      <b/>
      <i/>
      <sz val="12"/>
      <color theme="1"/>
      <name val="Aptos Narrow"/>
      <scheme val="minor"/>
    </font>
    <font>
      <sz val="12"/>
      <color theme="1"/>
      <name val="Aptos Narrow"/>
      <family val="2"/>
      <scheme val="minor"/>
    </font>
    <font>
      <b/>
      <i/>
      <sz val="12"/>
      <color theme="1"/>
      <name val="Aptos Narrow"/>
      <family val="2"/>
      <scheme val="minor"/>
    </font>
    <font>
      <b/>
      <sz val="10"/>
      <color theme="1"/>
      <name val="Helvetica Neue"/>
      <family val="2"/>
    </font>
    <font>
      <sz val="10"/>
      <color theme="1"/>
      <name val="Helvetica Neue"/>
      <family val="2"/>
    </font>
    <font>
      <sz val="12"/>
      <color theme="1"/>
      <name val="Aptos Narrow"/>
      <family val="2"/>
      <charset val="1"/>
    </font>
    <font>
      <b/>
      <sz val="12"/>
      <color theme="1"/>
      <name val="Aptos Narrow"/>
      <family val="2"/>
      <charset val="1"/>
    </font>
    <font>
      <b/>
      <sz val="12"/>
      <color theme="1"/>
      <name val="Aptos Narrow"/>
    </font>
    <font>
      <i/>
      <sz val="10"/>
      <color theme="1"/>
      <name val="Helvetica Neue"/>
      <family val="2"/>
    </font>
  </fonts>
  <fills count="2">
    <fill>
      <patternFill patternType="none"/>
    </fill>
    <fill>
      <patternFill patternType="gray125"/>
    </fill>
  </fills>
  <borders count="8">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2">
    <xf numFmtId="0" fontId="0" fillId="0" borderId="0"/>
    <xf numFmtId="9" fontId="9" fillId="0" borderId="0" applyFont="0" applyFill="0" applyBorder="0" applyAlignment="0" applyProtection="0"/>
  </cellStyleXfs>
  <cellXfs count="38">
    <xf numFmtId="0" fontId="0" fillId="0" borderId="0" xfId="0"/>
    <xf numFmtId="0" fontId="2" fillId="0" borderId="0" xfId="0" applyFont="1"/>
    <xf numFmtId="0" fontId="1" fillId="0" borderId="0" xfId="0" applyFont="1"/>
    <xf numFmtId="0" fontId="3" fillId="0" borderId="0" xfId="0" applyFont="1"/>
    <xf numFmtId="0" fontId="4" fillId="0" borderId="0" xfId="0" applyFont="1" applyAlignment="1">
      <alignment wrapText="1"/>
    </xf>
    <xf numFmtId="0" fontId="5" fillId="0" borderId="0" xfId="0" applyFont="1"/>
    <xf numFmtId="0" fontId="6" fillId="0" borderId="0" xfId="0" applyFont="1"/>
    <xf numFmtId="0" fontId="7" fillId="0" borderId="0" xfId="0" applyFont="1"/>
    <xf numFmtId="10" fontId="0" fillId="0" borderId="0" xfId="1" applyNumberFormat="1" applyFont="1" applyFill="1"/>
    <xf numFmtId="2" fontId="0" fillId="0" borderId="0" xfId="1" applyNumberFormat="1" applyFont="1" applyFill="1"/>
    <xf numFmtId="0" fontId="11" fillId="0" borderId="0" xfId="0" applyFont="1"/>
    <xf numFmtId="0" fontId="12" fillId="0" borderId="0" xfId="0" applyFont="1"/>
    <xf numFmtId="16" fontId="12" fillId="0" borderId="0" xfId="0" applyNumberFormat="1" applyFont="1"/>
    <xf numFmtId="0" fontId="13" fillId="0" borderId="0" xfId="0" applyFont="1"/>
    <xf numFmtId="0" fontId="14" fillId="0" borderId="0" xfId="0" applyFont="1" applyAlignment="1">
      <alignment wrapText="1"/>
    </xf>
    <xf numFmtId="0" fontId="14" fillId="0" borderId="3" xfId="0" applyFont="1" applyBorder="1" applyAlignment="1">
      <alignment wrapText="1"/>
    </xf>
    <xf numFmtId="0" fontId="14" fillId="0" borderId="1" xfId="0" applyFont="1" applyBorder="1" applyAlignment="1">
      <alignment wrapText="1"/>
    </xf>
    <xf numFmtId="0" fontId="15" fillId="0" borderId="3" xfId="0" applyFont="1" applyBorder="1" applyAlignment="1">
      <alignment wrapText="1"/>
    </xf>
    <xf numFmtId="0" fontId="0" fillId="0" borderId="3" xfId="0" applyBorder="1"/>
    <xf numFmtId="0" fontId="0" fillId="0" borderId="1" xfId="0" applyBorder="1"/>
    <xf numFmtId="2" fontId="0" fillId="0" borderId="0" xfId="0" applyNumberFormat="1"/>
    <xf numFmtId="0" fontId="16" fillId="0" borderId="0" xfId="0" applyFont="1"/>
    <xf numFmtId="0" fontId="0" fillId="0" borderId="5" xfId="0" applyBorder="1"/>
    <xf numFmtId="0" fontId="0" fillId="0" borderId="4" xfId="0" applyBorder="1"/>
    <xf numFmtId="0" fontId="0" fillId="0" borderId="6" xfId="0" applyBorder="1"/>
    <xf numFmtId="2" fontId="5" fillId="0" borderId="0" xfId="0" applyNumberFormat="1" applyFont="1"/>
    <xf numFmtId="0" fontId="0" fillId="0" borderId="2" xfId="0" applyBorder="1" applyAlignment="1">
      <alignment horizontal="center"/>
    </xf>
    <xf numFmtId="0" fontId="0" fillId="0" borderId="0" xfId="0" applyAlignment="1">
      <alignment horizontal="center"/>
    </xf>
    <xf numFmtId="2" fontId="5" fillId="0" borderId="2" xfId="0" applyNumberFormat="1" applyFont="1" applyBorder="1"/>
    <xf numFmtId="9" fontId="0" fillId="0" borderId="0" xfId="1" applyFont="1" applyFill="1"/>
    <xf numFmtId="0" fontId="0" fillId="0" borderId="7" xfId="0" applyBorder="1"/>
    <xf numFmtId="9" fontId="0" fillId="0" borderId="0" xfId="1" applyFont="1" applyFill="1" applyBorder="1"/>
    <xf numFmtId="0" fontId="15" fillId="0" borderId="0" xfId="0" applyFont="1"/>
    <xf numFmtId="0" fontId="8" fillId="0" borderId="3" xfId="0" applyFont="1" applyBorder="1" applyAlignment="1">
      <alignment horizontal="center"/>
    </xf>
    <xf numFmtId="0" fontId="8" fillId="0" borderId="0" xfId="0" applyFont="1" applyAlignment="1">
      <alignment horizontal="center"/>
    </xf>
    <xf numFmtId="0" fontId="8" fillId="0" borderId="1" xfId="0" applyFont="1" applyBorder="1" applyAlignment="1">
      <alignment horizontal="center"/>
    </xf>
    <xf numFmtId="0" fontId="10" fillId="0" borderId="3" xfId="0" applyFont="1" applyBorder="1" applyAlignment="1">
      <alignment horizontal="center"/>
    </xf>
    <xf numFmtId="0" fontId="10" fillId="0" borderId="0" xfId="0" applyFont="1"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784E3-83BB-FA46-B40A-734D740A371F}">
  <sheetPr>
    <tabColor rgb="FF7030A0"/>
  </sheetPr>
  <dimension ref="A1:W143"/>
  <sheetViews>
    <sheetView tabSelected="1" zoomScale="115" workbookViewId="0"/>
  </sheetViews>
  <sheetFormatPr baseColWidth="10" defaultColWidth="11" defaultRowHeight="16" x14ac:dyDescent="0.2"/>
  <cols>
    <col min="2" max="2" width="15" bestFit="1" customWidth="1"/>
    <col min="4" max="4" width="11.83203125" bestFit="1" customWidth="1"/>
    <col min="20" max="23" width="12.6640625" bestFit="1" customWidth="1"/>
  </cols>
  <sheetData>
    <row r="1" spans="1:23" x14ac:dyDescent="0.2">
      <c r="D1" s="33" t="s">
        <v>338</v>
      </c>
      <c r="E1" s="34"/>
      <c r="F1" s="34"/>
      <c r="G1" s="34"/>
      <c r="H1" s="35"/>
      <c r="I1" s="34" t="s">
        <v>339</v>
      </c>
      <c r="J1" s="34"/>
      <c r="K1" s="34"/>
      <c r="L1" s="34"/>
      <c r="M1" s="35"/>
      <c r="N1" s="33" t="s">
        <v>340</v>
      </c>
      <c r="O1" s="34"/>
      <c r="P1" s="34"/>
      <c r="Q1" s="34"/>
      <c r="R1" s="35"/>
      <c r="S1" s="36" t="s">
        <v>341</v>
      </c>
      <c r="T1" s="37"/>
      <c r="U1" s="37"/>
      <c r="V1" s="37"/>
      <c r="W1" s="37"/>
    </row>
    <row r="2" spans="1:23" ht="119" x14ac:dyDescent="0.2">
      <c r="A2" s="5" t="s">
        <v>314</v>
      </c>
      <c r="B2" s="5" t="s">
        <v>315</v>
      </c>
      <c r="C2" s="5" t="s">
        <v>316</v>
      </c>
      <c r="D2" s="15" t="s">
        <v>317</v>
      </c>
      <c r="E2" s="14" t="s">
        <v>318</v>
      </c>
      <c r="F2" s="14" t="s">
        <v>319</v>
      </c>
      <c r="G2" s="14" t="s">
        <v>320</v>
      </c>
      <c r="H2" s="16" t="s">
        <v>321</v>
      </c>
      <c r="I2" s="15" t="s">
        <v>317</v>
      </c>
      <c r="J2" s="14" t="s">
        <v>318</v>
      </c>
      <c r="K2" s="14" t="s">
        <v>319</v>
      </c>
      <c r="L2" s="14" t="s">
        <v>320</v>
      </c>
      <c r="M2" s="16" t="s">
        <v>321</v>
      </c>
      <c r="N2" s="15" t="s">
        <v>317</v>
      </c>
      <c r="O2" s="14" t="s">
        <v>318</v>
      </c>
      <c r="P2" s="14" t="s">
        <v>319</v>
      </c>
      <c r="Q2" s="14" t="s">
        <v>320</v>
      </c>
      <c r="R2" s="16" t="s">
        <v>321</v>
      </c>
      <c r="S2" s="17" t="s">
        <v>317</v>
      </c>
      <c r="T2" s="14" t="s">
        <v>318</v>
      </c>
      <c r="U2" s="14" t="s">
        <v>319</v>
      </c>
      <c r="V2" s="14" t="s">
        <v>320</v>
      </c>
      <c r="W2" s="16" t="s">
        <v>321</v>
      </c>
    </row>
    <row r="3" spans="1:23" x14ac:dyDescent="0.2">
      <c r="A3" s="11" t="s">
        <v>28</v>
      </c>
      <c r="B3" t="s">
        <v>322</v>
      </c>
      <c r="C3">
        <v>124</v>
      </c>
      <c r="D3" s="18">
        <v>0</v>
      </c>
      <c r="E3">
        <v>0</v>
      </c>
      <c r="F3">
        <v>1</v>
      </c>
      <c r="G3">
        <v>0</v>
      </c>
      <c r="H3" s="19">
        <v>0</v>
      </c>
      <c r="I3">
        <f>INDEX(HATI!D$2:D$71, MATCH($A3, HATI!$A$2:$A$71,0))</f>
        <v>0</v>
      </c>
      <c r="J3">
        <f>INDEX(HATI!E$2:E$71, MATCH($A3, HATI!$A$2:$A$71,0))</f>
        <v>0</v>
      </c>
      <c r="K3">
        <f>INDEX(HATI!F$2:F$71, MATCH($A3, HATI!$A$2:$A$71,0))</f>
        <v>0</v>
      </c>
      <c r="L3">
        <f>INDEX(HATI!G$2:G$71, MATCH($A3, HATI!$A$2:$A$71,0))</f>
        <v>0</v>
      </c>
      <c r="M3" s="19">
        <f>INDEX(HATI!H$2:H$71, MATCH($A3, HATI!$A$2:$A$71,0))</f>
        <v>1</v>
      </c>
      <c r="N3" s="18">
        <f>INDEX(MABA!D$2:D$71, MATCH($A3, MABA!$A$2:$A$71,0))</f>
        <v>0</v>
      </c>
      <c r="O3">
        <f>INDEX(MABA!E$2:E$71, MATCH($A3, MABA!$A$2:$A$71,0))</f>
        <v>0</v>
      </c>
      <c r="P3">
        <f>INDEX(MABA!F$2:F$71, MATCH($A3, MABA!$A$2:$A$71,0))</f>
        <v>1</v>
      </c>
      <c r="Q3">
        <f>INDEX(MABA!G$2:G$71, MATCH($A3, MABA!$A$2:$A$71,0))</f>
        <v>0</v>
      </c>
      <c r="R3" s="19">
        <f>INDEX(MABA!H$2:H$71, MATCH($A3, MABA!$A$2:$A$71,0))</f>
        <v>0</v>
      </c>
      <c r="S3">
        <f>AVERAGE(N3,I3,D3)</f>
        <v>0</v>
      </c>
      <c r="T3" s="20">
        <f>AVERAGE(O3,J3,E3)</f>
        <v>0</v>
      </c>
      <c r="U3" s="20">
        <f>AVERAGE(P3,K3,F3)</f>
        <v>0.66666666666666663</v>
      </c>
      <c r="V3" s="20">
        <f>AVERAGE(Q3,L3,G3)</f>
        <v>0</v>
      </c>
      <c r="W3" s="20">
        <f>AVERAGE(R3,M3,H3)</f>
        <v>0.33333333333333331</v>
      </c>
    </row>
    <row r="4" spans="1:23" x14ac:dyDescent="0.2">
      <c r="A4" s="21" t="s">
        <v>34</v>
      </c>
      <c r="B4" t="s">
        <v>322</v>
      </c>
      <c r="C4">
        <v>357</v>
      </c>
      <c r="D4" s="18">
        <v>0</v>
      </c>
      <c r="E4">
        <v>0</v>
      </c>
      <c r="F4">
        <v>1</v>
      </c>
      <c r="G4">
        <v>0</v>
      </c>
      <c r="H4" s="19">
        <v>0</v>
      </c>
      <c r="I4">
        <f>INDEX(HATI!D$2:D$71, MATCH($A4, HATI!$A$2:$A$71,0))</f>
        <v>0</v>
      </c>
      <c r="J4">
        <f>INDEX(HATI!E$2:E$71, MATCH($A4, HATI!$A$2:$A$71,0))</f>
        <v>0</v>
      </c>
      <c r="K4">
        <f>INDEX(HATI!F$2:F$71, MATCH($A4, HATI!$A$2:$A$71,0))</f>
        <v>1</v>
      </c>
      <c r="L4">
        <f>INDEX(HATI!G$2:G$71, MATCH($A4, HATI!$A$2:$A$71,0))</f>
        <v>0</v>
      </c>
      <c r="M4" s="19">
        <f>INDEX(HATI!H$2:H$71, MATCH($A4, HATI!$A$2:$A$71,0))</f>
        <v>1</v>
      </c>
      <c r="N4" s="18">
        <f>INDEX(MABA!D$2:D$71, MATCH($A4, MABA!$A$2:$A$71,0))</f>
        <v>0</v>
      </c>
      <c r="O4">
        <f>INDEX(MABA!E$2:E$71, MATCH($A4, MABA!$A$2:$A$71,0))</f>
        <v>0</v>
      </c>
      <c r="P4">
        <f>INDEX(MABA!F$2:F$71, MATCH($A4, MABA!$A$2:$A$71,0))</f>
        <v>1</v>
      </c>
      <c r="Q4">
        <f>INDEX(MABA!G$2:G$71, MATCH($A4, MABA!$A$2:$A$71,0))</f>
        <v>0</v>
      </c>
      <c r="R4" s="19">
        <f>INDEX(MABA!H$2:H$71, MATCH($A4, MABA!$A$2:$A$71,0))</f>
        <v>0</v>
      </c>
      <c r="S4">
        <f t="shared" ref="S4:S35" si="0">AVERAGE(N4,I4,D4)</f>
        <v>0</v>
      </c>
      <c r="T4" s="20">
        <f t="shared" ref="T4:T67" si="1">AVERAGE(O4,J4,E4)</f>
        <v>0</v>
      </c>
      <c r="U4" s="20">
        <f t="shared" ref="U4:U67" si="2">AVERAGE(P4,K4,F4)</f>
        <v>1</v>
      </c>
      <c r="V4" s="20">
        <f t="shared" ref="V4:V67" si="3">AVERAGE(Q4,L4,G4)</f>
        <v>0</v>
      </c>
      <c r="W4" s="20">
        <f t="shared" ref="W4:W67" si="4">AVERAGE(R4,M4,H4)</f>
        <v>0.33333333333333331</v>
      </c>
    </row>
    <row r="5" spans="1:23" x14ac:dyDescent="0.2">
      <c r="A5" s="11" t="s">
        <v>41</v>
      </c>
      <c r="B5" t="s">
        <v>322</v>
      </c>
      <c r="C5">
        <v>682</v>
      </c>
      <c r="D5" s="18">
        <v>0</v>
      </c>
      <c r="E5">
        <v>0</v>
      </c>
      <c r="F5">
        <v>1</v>
      </c>
      <c r="G5">
        <v>0</v>
      </c>
      <c r="H5" s="19">
        <v>0</v>
      </c>
      <c r="I5">
        <f>INDEX(HATI!D$2:D$71, MATCH($A5, HATI!$A$2:$A$71,0))</f>
        <v>0</v>
      </c>
      <c r="J5">
        <f>INDEX(HATI!E$2:E$71, MATCH($A5, HATI!$A$2:$A$71,0))</f>
        <v>0</v>
      </c>
      <c r="K5">
        <f>INDEX(HATI!F$2:F$71, MATCH($A5, HATI!$A$2:$A$71,0))</f>
        <v>1</v>
      </c>
      <c r="L5">
        <f>INDEX(HATI!G$2:G$71, MATCH($A5, HATI!$A$2:$A$71,0))</f>
        <v>0</v>
      </c>
      <c r="M5" s="19">
        <f>INDEX(HATI!H$2:H$71, MATCH($A5, HATI!$A$2:$A$71,0))</f>
        <v>1</v>
      </c>
      <c r="N5" s="18">
        <f>INDEX(MABA!D$2:D$71, MATCH($A5, MABA!$A$2:$A$71,0))</f>
        <v>0</v>
      </c>
      <c r="O5">
        <f>INDEX(MABA!E$2:E$71, MATCH($A5, MABA!$A$2:$A$71,0))</f>
        <v>0</v>
      </c>
      <c r="P5">
        <f>INDEX(MABA!F$2:F$71, MATCH($A5, MABA!$A$2:$A$71,0))</f>
        <v>2</v>
      </c>
      <c r="Q5">
        <f>INDEX(MABA!G$2:G$71, MATCH($A5, MABA!$A$2:$A$71,0))</f>
        <v>0</v>
      </c>
      <c r="R5" s="19">
        <f>INDEX(MABA!H$2:H$71, MATCH($A5, MABA!$A$2:$A$71,0))</f>
        <v>0</v>
      </c>
      <c r="S5">
        <f t="shared" si="0"/>
        <v>0</v>
      </c>
      <c r="T5" s="20">
        <f t="shared" si="1"/>
        <v>0</v>
      </c>
      <c r="U5" s="20">
        <f t="shared" si="2"/>
        <v>1.3333333333333333</v>
      </c>
      <c r="V5" s="20">
        <f t="shared" si="3"/>
        <v>0</v>
      </c>
      <c r="W5" s="20">
        <f t="shared" si="4"/>
        <v>0.33333333333333331</v>
      </c>
    </row>
    <row r="6" spans="1:23" x14ac:dyDescent="0.2">
      <c r="A6" s="11" t="s">
        <v>47</v>
      </c>
      <c r="B6" t="s">
        <v>322</v>
      </c>
      <c r="C6">
        <v>901</v>
      </c>
      <c r="D6" s="18">
        <v>0</v>
      </c>
      <c r="E6">
        <v>0</v>
      </c>
      <c r="F6">
        <v>1</v>
      </c>
      <c r="G6">
        <v>0</v>
      </c>
      <c r="H6" s="19">
        <v>0</v>
      </c>
      <c r="I6">
        <f>INDEX(HATI!D$2:D$71, MATCH($A6, HATI!$A$2:$A$71,0))</f>
        <v>0</v>
      </c>
      <c r="J6">
        <f>INDEX(HATI!E$2:E$71, MATCH($A6, HATI!$A$2:$A$71,0))</f>
        <v>0</v>
      </c>
      <c r="K6">
        <f>INDEX(HATI!F$2:F$71, MATCH($A6, HATI!$A$2:$A$71,0))</f>
        <v>0</v>
      </c>
      <c r="L6">
        <f>INDEX(HATI!G$2:G$71, MATCH($A6, HATI!$A$2:$A$71,0))</f>
        <v>0</v>
      </c>
      <c r="M6" s="19">
        <f>INDEX(HATI!H$2:H$71, MATCH($A6, HATI!$A$2:$A$71,0))</f>
        <v>1</v>
      </c>
      <c r="N6" s="18">
        <f>INDEX(MABA!D$2:D$71, MATCH($A6, MABA!$A$2:$A$71,0))</f>
        <v>0</v>
      </c>
      <c r="O6">
        <f>INDEX(MABA!E$2:E$71, MATCH($A6, MABA!$A$2:$A$71,0))</f>
        <v>0</v>
      </c>
      <c r="P6">
        <f>INDEX(MABA!F$2:F$71, MATCH($A6, MABA!$A$2:$A$71,0))</f>
        <v>2</v>
      </c>
      <c r="Q6">
        <f>INDEX(MABA!G$2:G$71, MATCH($A6, MABA!$A$2:$A$71,0))</f>
        <v>0</v>
      </c>
      <c r="R6" s="19">
        <f>INDEX(MABA!H$2:H$71, MATCH($A6, MABA!$A$2:$A$71,0))</f>
        <v>0</v>
      </c>
      <c r="S6">
        <f t="shared" si="0"/>
        <v>0</v>
      </c>
      <c r="T6" s="20">
        <f t="shared" si="1"/>
        <v>0</v>
      </c>
      <c r="U6" s="20">
        <f t="shared" si="2"/>
        <v>1</v>
      </c>
      <c r="V6" s="20">
        <f t="shared" si="3"/>
        <v>0</v>
      </c>
      <c r="W6" s="20">
        <f t="shared" si="4"/>
        <v>0.33333333333333331</v>
      </c>
    </row>
    <row r="7" spans="1:23" x14ac:dyDescent="0.2">
      <c r="A7" s="11" t="s">
        <v>53</v>
      </c>
      <c r="B7" t="s">
        <v>322</v>
      </c>
      <c r="C7">
        <v>1247</v>
      </c>
      <c r="D7" s="18">
        <v>0</v>
      </c>
      <c r="E7">
        <v>0</v>
      </c>
      <c r="F7">
        <v>1</v>
      </c>
      <c r="G7">
        <v>0</v>
      </c>
      <c r="H7" s="19">
        <v>0</v>
      </c>
      <c r="I7">
        <f>INDEX(HATI!D$2:D$71, MATCH($A7, HATI!$A$2:$A$71,0))</f>
        <v>0</v>
      </c>
      <c r="J7">
        <f>INDEX(HATI!E$2:E$71, MATCH($A7, HATI!$A$2:$A$71,0))</f>
        <v>0</v>
      </c>
      <c r="K7">
        <f>INDEX(HATI!F$2:F$71, MATCH($A7, HATI!$A$2:$A$71,0))</f>
        <v>0</v>
      </c>
      <c r="L7">
        <f>INDEX(HATI!G$2:G$71, MATCH($A7, HATI!$A$2:$A$71,0))</f>
        <v>0</v>
      </c>
      <c r="M7" s="19">
        <f>INDEX(HATI!H$2:H$71, MATCH($A7, HATI!$A$2:$A$71,0))</f>
        <v>0</v>
      </c>
      <c r="N7" s="18">
        <f>INDEX(MABA!D$2:D$71, MATCH($A7, MABA!$A$2:$A$71,0))</f>
        <v>0</v>
      </c>
      <c r="O7">
        <f>INDEX(MABA!E$2:E$71, MATCH($A7, MABA!$A$2:$A$71,0))</f>
        <v>0</v>
      </c>
      <c r="P7">
        <f>INDEX(MABA!F$2:F$71, MATCH($A7, MABA!$A$2:$A$71,0))</f>
        <v>1</v>
      </c>
      <c r="Q7">
        <f>INDEX(MABA!G$2:G$71, MATCH($A7, MABA!$A$2:$A$71,0))</f>
        <v>0</v>
      </c>
      <c r="R7" s="19">
        <f>INDEX(MABA!H$2:H$71, MATCH($A7, MABA!$A$2:$A$71,0))</f>
        <v>0</v>
      </c>
      <c r="S7">
        <f t="shared" si="0"/>
        <v>0</v>
      </c>
      <c r="T7" s="20">
        <f t="shared" si="1"/>
        <v>0</v>
      </c>
      <c r="U7" s="20">
        <f t="shared" si="2"/>
        <v>0.66666666666666663</v>
      </c>
      <c r="V7" s="20">
        <f t="shared" si="3"/>
        <v>0</v>
      </c>
      <c r="W7" s="20">
        <f t="shared" si="4"/>
        <v>0</v>
      </c>
    </row>
    <row r="8" spans="1:23" x14ac:dyDescent="0.2">
      <c r="A8" s="11" t="s">
        <v>59</v>
      </c>
      <c r="B8" t="s">
        <v>323</v>
      </c>
      <c r="C8">
        <v>124</v>
      </c>
      <c r="D8" s="18">
        <v>0</v>
      </c>
      <c r="E8">
        <v>0</v>
      </c>
      <c r="F8">
        <v>1</v>
      </c>
      <c r="G8">
        <v>0</v>
      </c>
      <c r="H8" s="19">
        <v>0</v>
      </c>
      <c r="I8">
        <f>INDEX(HATI!D$2:D$71, MATCH($A8, HATI!$A$2:$A$71,0))</f>
        <v>0</v>
      </c>
      <c r="J8">
        <f>INDEX(HATI!E$2:E$71, MATCH($A8, HATI!$A$2:$A$71,0))</f>
        <v>0</v>
      </c>
      <c r="K8">
        <f>INDEX(HATI!F$2:F$71, MATCH($A8, HATI!$A$2:$A$71,0))</f>
        <v>1</v>
      </c>
      <c r="L8">
        <f>INDEX(HATI!G$2:G$71, MATCH($A8, HATI!$A$2:$A$71,0))</f>
        <v>0</v>
      </c>
      <c r="M8" s="19">
        <f>INDEX(HATI!H$2:H$71, MATCH($A8, HATI!$A$2:$A$71,0))</f>
        <v>1</v>
      </c>
      <c r="N8" s="18">
        <f>INDEX(MABA!D$2:D$71, MATCH($A8, MABA!$A$2:$A$71,0))</f>
        <v>0</v>
      </c>
      <c r="O8">
        <f>INDEX(MABA!E$2:E$71, MATCH($A8, MABA!$A$2:$A$71,0))</f>
        <v>0</v>
      </c>
      <c r="P8">
        <f>INDEX(MABA!F$2:F$71, MATCH($A8, MABA!$A$2:$A$71,0))</f>
        <v>2</v>
      </c>
      <c r="Q8">
        <f>INDEX(MABA!G$2:G$71, MATCH($A8, MABA!$A$2:$A$71,0))</f>
        <v>0</v>
      </c>
      <c r="R8" s="19">
        <f>INDEX(MABA!H$2:H$71, MATCH($A8, MABA!$A$2:$A$71,0))</f>
        <v>0</v>
      </c>
      <c r="S8">
        <f t="shared" si="0"/>
        <v>0</v>
      </c>
      <c r="T8" s="20">
        <f t="shared" si="1"/>
        <v>0</v>
      </c>
      <c r="U8" s="20">
        <f t="shared" si="2"/>
        <v>1.3333333333333333</v>
      </c>
      <c r="V8" s="20">
        <f t="shared" si="3"/>
        <v>0</v>
      </c>
      <c r="W8" s="20">
        <f t="shared" si="4"/>
        <v>0.33333333333333331</v>
      </c>
    </row>
    <row r="9" spans="1:23" x14ac:dyDescent="0.2">
      <c r="A9" s="11" t="s">
        <v>63</v>
      </c>
      <c r="B9" t="s">
        <v>323</v>
      </c>
      <c r="C9">
        <v>357</v>
      </c>
      <c r="D9" s="18">
        <v>0</v>
      </c>
      <c r="E9">
        <v>0</v>
      </c>
      <c r="F9">
        <v>1</v>
      </c>
      <c r="G9">
        <v>0</v>
      </c>
      <c r="H9" s="19">
        <v>0</v>
      </c>
      <c r="I9">
        <f>INDEX(HATI!D$2:D$71, MATCH($A9, HATI!$A$2:$A$71,0))</f>
        <v>0</v>
      </c>
      <c r="J9">
        <f>INDEX(HATI!E$2:E$71, MATCH($A9, HATI!$A$2:$A$71,0))</f>
        <v>0</v>
      </c>
      <c r="K9">
        <f>INDEX(HATI!F$2:F$71, MATCH($A9, HATI!$A$2:$A$71,0))</f>
        <v>0</v>
      </c>
      <c r="L9">
        <f>INDEX(HATI!G$2:G$71, MATCH($A9, HATI!$A$2:$A$71,0))</f>
        <v>0</v>
      </c>
      <c r="M9" s="19">
        <f>INDEX(HATI!H$2:H$71, MATCH($A9, HATI!$A$2:$A$71,0))</f>
        <v>0</v>
      </c>
      <c r="N9" s="18">
        <f>INDEX(MABA!D$2:D$71, MATCH($A9, MABA!$A$2:$A$71,0))</f>
        <v>0</v>
      </c>
      <c r="O9">
        <f>INDEX(MABA!E$2:E$71, MATCH($A9, MABA!$A$2:$A$71,0))</f>
        <v>0</v>
      </c>
      <c r="P9">
        <f>INDEX(MABA!F$2:F$71, MATCH($A9, MABA!$A$2:$A$71,0))</f>
        <v>0</v>
      </c>
      <c r="Q9">
        <f>INDEX(MABA!G$2:G$71, MATCH($A9, MABA!$A$2:$A$71,0))</f>
        <v>0</v>
      </c>
      <c r="R9" s="19">
        <f>INDEX(MABA!H$2:H$71, MATCH($A9, MABA!$A$2:$A$71,0))</f>
        <v>0</v>
      </c>
      <c r="S9">
        <f t="shared" si="0"/>
        <v>0</v>
      </c>
      <c r="T9" s="20">
        <f t="shared" si="1"/>
        <v>0</v>
      </c>
      <c r="U9" s="20">
        <f t="shared" si="2"/>
        <v>0.33333333333333331</v>
      </c>
      <c r="V9" s="20">
        <f t="shared" si="3"/>
        <v>0</v>
      </c>
      <c r="W9" s="20">
        <f t="shared" si="4"/>
        <v>0</v>
      </c>
    </row>
    <row r="10" spans="1:23" x14ac:dyDescent="0.2">
      <c r="A10" s="11" t="s">
        <v>67</v>
      </c>
      <c r="B10" t="s">
        <v>323</v>
      </c>
      <c r="C10">
        <v>682</v>
      </c>
      <c r="D10" s="18">
        <v>0</v>
      </c>
      <c r="E10">
        <v>0</v>
      </c>
      <c r="F10">
        <v>1</v>
      </c>
      <c r="G10">
        <v>0</v>
      </c>
      <c r="H10" s="19">
        <v>0</v>
      </c>
      <c r="I10">
        <f>INDEX(HATI!D$2:D$71, MATCH($A10, HATI!$A$2:$A$71,0))</f>
        <v>0</v>
      </c>
      <c r="J10">
        <f>INDEX(HATI!E$2:E$71, MATCH($A10, HATI!$A$2:$A$71,0))</f>
        <v>0</v>
      </c>
      <c r="K10">
        <f>INDEX(HATI!F$2:F$71, MATCH($A10, HATI!$A$2:$A$71,0))</f>
        <v>0</v>
      </c>
      <c r="L10">
        <f>INDEX(HATI!G$2:G$71, MATCH($A10, HATI!$A$2:$A$71,0))</f>
        <v>0</v>
      </c>
      <c r="M10" s="19">
        <f>INDEX(HATI!H$2:H$71, MATCH($A10, HATI!$A$2:$A$71,0))</f>
        <v>0</v>
      </c>
      <c r="N10" s="18">
        <f>INDEX(MABA!D$2:D$71, MATCH($A10, MABA!$A$2:$A$71,0))</f>
        <v>0</v>
      </c>
      <c r="O10">
        <f>INDEX(MABA!E$2:E$71, MATCH($A10, MABA!$A$2:$A$71,0))</f>
        <v>0</v>
      </c>
      <c r="P10">
        <f>INDEX(MABA!F$2:F$71, MATCH($A10, MABA!$A$2:$A$71,0))</f>
        <v>1</v>
      </c>
      <c r="Q10">
        <f>INDEX(MABA!G$2:G$71, MATCH($A10, MABA!$A$2:$A$71,0))</f>
        <v>0</v>
      </c>
      <c r="R10" s="19">
        <f>INDEX(MABA!H$2:H$71, MATCH($A10, MABA!$A$2:$A$71,0))</f>
        <v>0</v>
      </c>
      <c r="S10">
        <f t="shared" si="0"/>
        <v>0</v>
      </c>
      <c r="T10" s="20">
        <f t="shared" si="1"/>
        <v>0</v>
      </c>
      <c r="U10" s="20">
        <f t="shared" si="2"/>
        <v>0.66666666666666663</v>
      </c>
      <c r="V10" s="20">
        <f t="shared" si="3"/>
        <v>0</v>
      </c>
      <c r="W10" s="20">
        <f t="shared" si="4"/>
        <v>0</v>
      </c>
    </row>
    <row r="11" spans="1:23" x14ac:dyDescent="0.2">
      <c r="A11" s="11" t="s">
        <v>71</v>
      </c>
      <c r="B11" t="s">
        <v>323</v>
      </c>
      <c r="C11">
        <v>901</v>
      </c>
      <c r="D11" s="18">
        <v>0</v>
      </c>
      <c r="E11">
        <v>0</v>
      </c>
      <c r="F11">
        <v>1</v>
      </c>
      <c r="G11">
        <v>0</v>
      </c>
      <c r="H11" s="19">
        <v>1</v>
      </c>
      <c r="I11">
        <f>INDEX(HATI!D$2:D$71, MATCH($A11, HATI!$A$2:$A$71,0))</f>
        <v>0</v>
      </c>
      <c r="J11">
        <f>INDEX(HATI!E$2:E$71, MATCH($A11, HATI!$A$2:$A$71,0))</f>
        <v>0</v>
      </c>
      <c r="K11">
        <f>INDEX(HATI!F$2:F$71, MATCH($A11, HATI!$A$2:$A$71,0))</f>
        <v>1</v>
      </c>
      <c r="L11">
        <f>INDEX(HATI!G$2:G$71, MATCH($A11, HATI!$A$2:$A$71,0))</f>
        <v>0</v>
      </c>
      <c r="M11" s="19">
        <f>INDEX(HATI!H$2:H$71, MATCH($A11, HATI!$A$2:$A$71,0))</f>
        <v>1</v>
      </c>
      <c r="N11" s="18">
        <f>INDEX(MABA!D$2:D$71, MATCH($A11, MABA!$A$2:$A$71,0))</f>
        <v>0</v>
      </c>
      <c r="O11">
        <f>INDEX(MABA!E$2:E$71, MATCH($A11, MABA!$A$2:$A$71,0))</f>
        <v>2</v>
      </c>
      <c r="P11">
        <f>INDEX(MABA!F$2:F$71, MATCH($A11, MABA!$A$2:$A$71,0))</f>
        <v>2</v>
      </c>
      <c r="Q11">
        <f>INDEX(MABA!G$2:G$71, MATCH($A11, MABA!$A$2:$A$71,0))</f>
        <v>1</v>
      </c>
      <c r="R11" s="19">
        <f>INDEX(MABA!H$2:H$71, MATCH($A11, MABA!$A$2:$A$71,0))</f>
        <v>1</v>
      </c>
      <c r="S11">
        <f t="shared" si="0"/>
        <v>0</v>
      </c>
      <c r="T11" s="20">
        <f t="shared" si="1"/>
        <v>0.66666666666666663</v>
      </c>
      <c r="U11" s="20">
        <f t="shared" si="2"/>
        <v>1.3333333333333333</v>
      </c>
      <c r="V11" s="20">
        <f t="shared" si="3"/>
        <v>0.33333333333333331</v>
      </c>
      <c r="W11" s="20">
        <f t="shared" si="4"/>
        <v>1</v>
      </c>
    </row>
    <row r="12" spans="1:23" x14ac:dyDescent="0.2">
      <c r="A12" s="11" t="s">
        <v>75</v>
      </c>
      <c r="B12" t="s">
        <v>323</v>
      </c>
      <c r="C12">
        <v>1247</v>
      </c>
      <c r="D12" s="18">
        <v>0</v>
      </c>
      <c r="E12">
        <v>0</v>
      </c>
      <c r="F12">
        <v>1</v>
      </c>
      <c r="G12">
        <v>0</v>
      </c>
      <c r="H12" s="19">
        <v>1</v>
      </c>
      <c r="I12">
        <f>INDEX(HATI!D$2:D$71, MATCH($A12, HATI!$A$2:$A$71,0))</f>
        <v>0</v>
      </c>
      <c r="J12">
        <f>INDEX(HATI!E$2:E$71, MATCH($A12, HATI!$A$2:$A$71,0))</f>
        <v>0</v>
      </c>
      <c r="K12">
        <f>INDEX(HATI!F$2:F$71, MATCH($A12, HATI!$A$2:$A$71,0))</f>
        <v>0</v>
      </c>
      <c r="L12">
        <f>INDEX(HATI!G$2:G$71, MATCH($A12, HATI!$A$2:$A$71,0))</f>
        <v>0</v>
      </c>
      <c r="M12" s="19">
        <f>INDEX(HATI!H$2:H$71, MATCH($A12, HATI!$A$2:$A$71,0))</f>
        <v>0</v>
      </c>
      <c r="N12" s="18">
        <f>INDEX(MABA!D$2:D$71, MATCH($A12, MABA!$A$2:$A$71,0))</f>
        <v>0</v>
      </c>
      <c r="O12">
        <f>INDEX(MABA!E$2:E$71, MATCH($A12, MABA!$A$2:$A$71,0))</f>
        <v>0</v>
      </c>
      <c r="P12">
        <f>INDEX(MABA!F$2:F$71, MATCH($A12, MABA!$A$2:$A$71,0))</f>
        <v>4</v>
      </c>
      <c r="Q12">
        <f>INDEX(MABA!G$2:G$71, MATCH($A12, MABA!$A$2:$A$71,0))</f>
        <v>0</v>
      </c>
      <c r="R12" s="19">
        <f>INDEX(MABA!H$2:H$71, MATCH($A12, MABA!$A$2:$A$71,0))</f>
        <v>1</v>
      </c>
      <c r="S12">
        <f t="shared" si="0"/>
        <v>0</v>
      </c>
      <c r="T12" s="20">
        <f t="shared" si="1"/>
        <v>0</v>
      </c>
      <c r="U12" s="20">
        <f t="shared" si="2"/>
        <v>1.6666666666666667</v>
      </c>
      <c r="V12" s="20">
        <f t="shared" si="3"/>
        <v>0</v>
      </c>
      <c r="W12" s="20">
        <f t="shared" si="4"/>
        <v>0.66666666666666663</v>
      </c>
    </row>
    <row r="13" spans="1:23" x14ac:dyDescent="0.2">
      <c r="A13" s="11" t="s">
        <v>81</v>
      </c>
      <c r="B13" t="s">
        <v>324</v>
      </c>
      <c r="C13">
        <v>124</v>
      </c>
      <c r="D13" s="18">
        <v>0</v>
      </c>
      <c r="E13">
        <v>0</v>
      </c>
      <c r="F13">
        <v>1</v>
      </c>
      <c r="G13">
        <v>0</v>
      </c>
      <c r="H13" s="19">
        <v>1</v>
      </c>
      <c r="I13">
        <f>INDEX(HATI!D$2:D$71, MATCH($A13, HATI!$A$2:$A$71,0))</f>
        <v>0</v>
      </c>
      <c r="J13">
        <f>INDEX(HATI!E$2:E$71, MATCH($A13, HATI!$A$2:$A$71,0))</f>
        <v>0</v>
      </c>
      <c r="K13">
        <f>INDEX(HATI!F$2:F$71, MATCH($A13, HATI!$A$2:$A$71,0))</f>
        <v>1</v>
      </c>
      <c r="L13">
        <f>INDEX(HATI!G$2:G$71, MATCH($A13, HATI!$A$2:$A$71,0))</f>
        <v>0</v>
      </c>
      <c r="M13" s="19">
        <f>INDEX(HATI!H$2:H$71, MATCH($A13, HATI!$A$2:$A$71,0))</f>
        <v>1</v>
      </c>
      <c r="N13" s="18">
        <f>INDEX(MABA!D$2:D$71, MATCH($A13, MABA!$A$2:$A$71,0))</f>
        <v>0</v>
      </c>
      <c r="O13">
        <f>INDEX(MABA!E$2:E$71, MATCH($A13, MABA!$A$2:$A$71,0))</f>
        <v>0</v>
      </c>
      <c r="P13">
        <f>INDEX(MABA!F$2:F$71, MATCH($A13, MABA!$A$2:$A$71,0))</f>
        <v>2</v>
      </c>
      <c r="Q13">
        <f>INDEX(MABA!G$2:G$71, MATCH($A13, MABA!$A$2:$A$71,0))</f>
        <v>0</v>
      </c>
      <c r="R13" s="19">
        <f>INDEX(MABA!H$2:H$71, MATCH($A13, MABA!$A$2:$A$71,0))</f>
        <v>0</v>
      </c>
      <c r="S13">
        <f t="shared" si="0"/>
        <v>0</v>
      </c>
      <c r="T13" s="20">
        <f t="shared" si="1"/>
        <v>0</v>
      </c>
      <c r="U13" s="20">
        <f t="shared" si="2"/>
        <v>1.3333333333333333</v>
      </c>
      <c r="V13" s="20">
        <f t="shared" si="3"/>
        <v>0</v>
      </c>
      <c r="W13" s="20">
        <f t="shared" si="4"/>
        <v>0.66666666666666663</v>
      </c>
    </row>
    <row r="14" spans="1:23" x14ac:dyDescent="0.2">
      <c r="A14" s="11" t="s">
        <v>86</v>
      </c>
      <c r="B14" t="s">
        <v>324</v>
      </c>
      <c r="C14">
        <v>357</v>
      </c>
      <c r="D14" s="18">
        <v>0</v>
      </c>
      <c r="E14">
        <v>0</v>
      </c>
      <c r="F14">
        <v>1</v>
      </c>
      <c r="G14">
        <v>0</v>
      </c>
      <c r="H14" s="19">
        <v>0</v>
      </c>
      <c r="I14">
        <f>INDEX(HATI!D$2:D$71, MATCH($A14, HATI!$A$2:$A$71,0))</f>
        <v>0</v>
      </c>
      <c r="J14">
        <f>INDEX(HATI!E$2:E$71, MATCH($A14, HATI!$A$2:$A$71,0))</f>
        <v>0</v>
      </c>
      <c r="K14">
        <f>INDEX(HATI!F$2:F$71, MATCH($A14, HATI!$A$2:$A$71,0))</f>
        <v>1</v>
      </c>
      <c r="L14">
        <f>INDEX(HATI!G$2:G$71, MATCH($A14, HATI!$A$2:$A$71,0))</f>
        <v>0</v>
      </c>
      <c r="M14" s="19">
        <f>INDEX(HATI!H$2:H$71, MATCH($A14, HATI!$A$2:$A$71,0))</f>
        <v>1</v>
      </c>
      <c r="N14" s="18">
        <f>INDEX(MABA!D$2:D$71, MATCH($A14, MABA!$A$2:$A$71,0))</f>
        <v>0</v>
      </c>
      <c r="O14">
        <f>INDEX(MABA!E$2:E$71, MATCH($A14, MABA!$A$2:$A$71,0))</f>
        <v>1</v>
      </c>
      <c r="P14">
        <f>INDEX(MABA!F$2:F$71, MATCH($A14, MABA!$A$2:$A$71,0))</f>
        <v>3</v>
      </c>
      <c r="Q14">
        <f>INDEX(MABA!G$2:G$71, MATCH($A14, MABA!$A$2:$A$71,0))</f>
        <v>1</v>
      </c>
      <c r="R14" s="19">
        <f>INDEX(MABA!H$2:H$71, MATCH($A14, MABA!$A$2:$A$71,0))</f>
        <v>1</v>
      </c>
      <c r="S14">
        <f t="shared" si="0"/>
        <v>0</v>
      </c>
      <c r="T14" s="20">
        <f t="shared" si="1"/>
        <v>0.33333333333333331</v>
      </c>
      <c r="U14" s="20">
        <f t="shared" si="2"/>
        <v>1.6666666666666667</v>
      </c>
      <c r="V14" s="20">
        <f t="shared" si="3"/>
        <v>0.33333333333333331</v>
      </c>
      <c r="W14" s="20">
        <f t="shared" si="4"/>
        <v>0.66666666666666663</v>
      </c>
    </row>
    <row r="15" spans="1:23" x14ac:dyDescent="0.2">
      <c r="A15" s="11" t="s">
        <v>90</v>
      </c>
      <c r="B15" t="s">
        <v>324</v>
      </c>
      <c r="C15">
        <v>682</v>
      </c>
      <c r="D15" s="18">
        <v>0</v>
      </c>
      <c r="E15">
        <v>0</v>
      </c>
      <c r="F15">
        <v>0</v>
      </c>
      <c r="G15">
        <v>0</v>
      </c>
      <c r="H15" s="19">
        <v>0</v>
      </c>
      <c r="I15">
        <f>INDEX(HATI!D$2:D$71, MATCH($A15, HATI!$A$2:$A$71,0))</f>
        <v>0</v>
      </c>
      <c r="J15">
        <f>INDEX(HATI!E$2:E$71, MATCH($A15, HATI!$A$2:$A$71,0))</f>
        <v>0</v>
      </c>
      <c r="K15">
        <f>INDEX(HATI!F$2:F$71, MATCH($A15, HATI!$A$2:$A$71,0))</f>
        <v>0</v>
      </c>
      <c r="L15">
        <f>INDEX(HATI!G$2:G$71, MATCH($A15, HATI!$A$2:$A$71,0))</f>
        <v>0</v>
      </c>
      <c r="M15" s="19">
        <f>INDEX(HATI!H$2:H$71, MATCH($A15, HATI!$A$2:$A$71,0))</f>
        <v>0</v>
      </c>
      <c r="N15" s="18">
        <f>INDEX(MABA!D$2:D$71, MATCH($A15, MABA!$A$2:$A$71,0))</f>
        <v>0</v>
      </c>
      <c r="O15">
        <f>INDEX(MABA!E$2:E$71, MATCH($A15, MABA!$A$2:$A$71,0))</f>
        <v>0</v>
      </c>
      <c r="P15">
        <f>INDEX(MABA!F$2:F$71, MATCH($A15, MABA!$A$2:$A$71,0))</f>
        <v>0</v>
      </c>
      <c r="Q15">
        <f>INDEX(MABA!G$2:G$71, MATCH($A15, MABA!$A$2:$A$71,0))</f>
        <v>0</v>
      </c>
      <c r="R15" s="19">
        <f>INDEX(MABA!H$2:H$71, MATCH($A15, MABA!$A$2:$A$71,0))</f>
        <v>0</v>
      </c>
      <c r="S15">
        <f t="shared" si="0"/>
        <v>0</v>
      </c>
      <c r="T15" s="20">
        <f t="shared" si="1"/>
        <v>0</v>
      </c>
      <c r="U15" s="20">
        <f t="shared" si="2"/>
        <v>0</v>
      </c>
      <c r="V15" s="20">
        <f t="shared" si="3"/>
        <v>0</v>
      </c>
      <c r="W15" s="20">
        <f t="shared" si="4"/>
        <v>0</v>
      </c>
    </row>
    <row r="16" spans="1:23" x14ac:dyDescent="0.2">
      <c r="A16" s="11" t="s">
        <v>94</v>
      </c>
      <c r="B16" t="s">
        <v>324</v>
      </c>
      <c r="C16">
        <v>901</v>
      </c>
      <c r="D16" s="18">
        <v>0</v>
      </c>
      <c r="E16">
        <v>0</v>
      </c>
      <c r="F16">
        <v>0</v>
      </c>
      <c r="G16">
        <v>0</v>
      </c>
      <c r="H16" s="19">
        <v>0</v>
      </c>
      <c r="I16">
        <f>INDEX(HATI!D$2:D$71, MATCH($A16, HATI!$A$2:$A$71,0))</f>
        <v>0</v>
      </c>
      <c r="J16">
        <f>INDEX(HATI!E$2:E$71, MATCH($A16, HATI!$A$2:$A$71,0))</f>
        <v>0</v>
      </c>
      <c r="K16">
        <f>INDEX(HATI!F$2:F$71, MATCH($A16, HATI!$A$2:$A$71,0))</f>
        <v>0</v>
      </c>
      <c r="L16">
        <f>INDEX(HATI!G$2:G$71, MATCH($A16, HATI!$A$2:$A$71,0))</f>
        <v>0</v>
      </c>
      <c r="M16" s="19">
        <f>INDEX(HATI!H$2:H$71, MATCH($A16, HATI!$A$2:$A$71,0))</f>
        <v>0</v>
      </c>
      <c r="N16" s="18">
        <f>INDEX(MABA!D$2:D$71, MATCH($A16, MABA!$A$2:$A$71,0))</f>
        <v>0</v>
      </c>
      <c r="O16">
        <f>INDEX(MABA!E$2:E$71, MATCH($A16, MABA!$A$2:$A$71,0))</f>
        <v>0</v>
      </c>
      <c r="P16">
        <f>INDEX(MABA!F$2:F$71, MATCH($A16, MABA!$A$2:$A$71,0))</f>
        <v>0</v>
      </c>
      <c r="Q16">
        <f>INDEX(MABA!G$2:G$71, MATCH($A16, MABA!$A$2:$A$71,0))</f>
        <v>0</v>
      </c>
      <c r="R16" s="19">
        <f>INDEX(MABA!H$2:H$71, MATCH($A16, MABA!$A$2:$A$71,0))</f>
        <v>0</v>
      </c>
      <c r="S16">
        <f t="shared" si="0"/>
        <v>0</v>
      </c>
      <c r="T16" s="20">
        <f t="shared" si="1"/>
        <v>0</v>
      </c>
      <c r="U16" s="20">
        <f t="shared" si="2"/>
        <v>0</v>
      </c>
      <c r="V16" s="20">
        <f t="shared" si="3"/>
        <v>0</v>
      </c>
      <c r="W16" s="20">
        <f t="shared" si="4"/>
        <v>0</v>
      </c>
    </row>
    <row r="17" spans="1:23" x14ac:dyDescent="0.2">
      <c r="A17" s="11" t="s">
        <v>97</v>
      </c>
      <c r="B17" t="s">
        <v>324</v>
      </c>
      <c r="C17">
        <v>1247</v>
      </c>
      <c r="D17" s="18">
        <v>0</v>
      </c>
      <c r="E17">
        <v>0</v>
      </c>
      <c r="F17">
        <v>1</v>
      </c>
      <c r="G17">
        <v>0</v>
      </c>
      <c r="H17" s="19">
        <v>1</v>
      </c>
      <c r="I17">
        <f>INDEX(HATI!D$2:D$71, MATCH($A17, HATI!$A$2:$A$71,0))</f>
        <v>0</v>
      </c>
      <c r="J17">
        <f>INDEX(HATI!E$2:E$71, MATCH($A17, HATI!$A$2:$A$71,0))</f>
        <v>0</v>
      </c>
      <c r="K17">
        <f>INDEX(HATI!F$2:F$71, MATCH($A17, HATI!$A$2:$A$71,0))</f>
        <v>1</v>
      </c>
      <c r="L17">
        <f>INDEX(HATI!G$2:G$71, MATCH($A17, HATI!$A$2:$A$71,0))</f>
        <v>0</v>
      </c>
      <c r="M17" s="19">
        <f>INDEX(HATI!H$2:H$71, MATCH($A17, HATI!$A$2:$A$71,0))</f>
        <v>1</v>
      </c>
      <c r="N17" s="18">
        <f>INDEX(MABA!D$2:D$71, MATCH($A17, MABA!$A$2:$A$71,0))</f>
        <v>0</v>
      </c>
      <c r="O17">
        <f>INDEX(MABA!E$2:E$71, MATCH($A17, MABA!$A$2:$A$71,0))</f>
        <v>0</v>
      </c>
      <c r="P17">
        <f>INDEX(MABA!F$2:F$71, MATCH($A17, MABA!$A$2:$A$71,0))</f>
        <v>1</v>
      </c>
      <c r="Q17">
        <f>INDEX(MABA!G$2:G$71, MATCH($A17, MABA!$A$2:$A$71,0))</f>
        <v>0</v>
      </c>
      <c r="R17" s="19">
        <f>INDEX(MABA!H$2:H$71, MATCH($A17, MABA!$A$2:$A$71,0))</f>
        <v>0</v>
      </c>
      <c r="S17">
        <f t="shared" si="0"/>
        <v>0</v>
      </c>
      <c r="T17" s="20">
        <f t="shared" si="1"/>
        <v>0</v>
      </c>
      <c r="U17" s="20">
        <f t="shared" si="2"/>
        <v>1</v>
      </c>
      <c r="V17" s="20">
        <f t="shared" si="3"/>
        <v>0</v>
      </c>
      <c r="W17" s="20">
        <f t="shared" si="4"/>
        <v>0.66666666666666663</v>
      </c>
    </row>
    <row r="18" spans="1:23" x14ac:dyDescent="0.2">
      <c r="A18" s="11" t="s">
        <v>103</v>
      </c>
      <c r="B18" t="s">
        <v>326</v>
      </c>
      <c r="C18">
        <v>124</v>
      </c>
      <c r="D18" s="18">
        <v>0</v>
      </c>
      <c r="E18">
        <v>0</v>
      </c>
      <c r="F18">
        <v>0</v>
      </c>
      <c r="G18">
        <v>0</v>
      </c>
      <c r="H18" s="19">
        <v>0</v>
      </c>
      <c r="I18">
        <f>INDEX(HATI!D$2:D$71, MATCH($A18, HATI!$A$2:$A$71,0))</f>
        <v>0</v>
      </c>
      <c r="J18">
        <f>INDEX(HATI!E$2:E$71, MATCH($A18, HATI!$A$2:$A$71,0))</f>
        <v>0</v>
      </c>
      <c r="K18">
        <f>INDEX(HATI!F$2:F$71, MATCH($A18, HATI!$A$2:$A$71,0))</f>
        <v>0</v>
      </c>
      <c r="L18">
        <f>INDEX(HATI!G$2:G$71, MATCH($A18, HATI!$A$2:$A$71,0))</f>
        <v>0</v>
      </c>
      <c r="M18" s="19">
        <f>INDEX(HATI!H$2:H$71, MATCH($A18, HATI!$A$2:$A$71,0))</f>
        <v>0</v>
      </c>
      <c r="N18" s="18">
        <f>INDEX(MABA!D$2:D$71, MATCH($A18, MABA!$A$2:$A$71,0))</f>
        <v>0</v>
      </c>
      <c r="O18">
        <f>INDEX(MABA!E$2:E$71, MATCH($A18, MABA!$A$2:$A$71,0))</f>
        <v>2</v>
      </c>
      <c r="P18">
        <f>INDEX(MABA!F$2:F$71, MATCH($A18, MABA!$A$2:$A$71,0))</f>
        <v>1</v>
      </c>
      <c r="Q18">
        <f>INDEX(MABA!G$2:G$71, MATCH($A18, MABA!$A$2:$A$71,0))</f>
        <v>4</v>
      </c>
      <c r="R18" s="19">
        <f>INDEX(MABA!H$2:H$71, MATCH($A18, MABA!$A$2:$A$71,0))</f>
        <v>1</v>
      </c>
      <c r="S18">
        <f t="shared" si="0"/>
        <v>0</v>
      </c>
      <c r="T18" s="20">
        <f t="shared" si="1"/>
        <v>0.66666666666666663</v>
      </c>
      <c r="U18" s="20">
        <f t="shared" si="2"/>
        <v>0.33333333333333331</v>
      </c>
      <c r="V18" s="20">
        <f t="shared" si="3"/>
        <v>1.3333333333333333</v>
      </c>
      <c r="W18" s="20">
        <f t="shared" si="4"/>
        <v>0.33333333333333331</v>
      </c>
    </row>
    <row r="19" spans="1:23" x14ac:dyDescent="0.2">
      <c r="A19" s="11" t="s">
        <v>107</v>
      </c>
      <c r="B19" t="s">
        <v>326</v>
      </c>
      <c r="C19">
        <v>357</v>
      </c>
      <c r="D19" s="18">
        <v>0</v>
      </c>
      <c r="E19">
        <v>0</v>
      </c>
      <c r="F19">
        <v>1</v>
      </c>
      <c r="G19">
        <v>0</v>
      </c>
      <c r="H19" s="19">
        <v>0</v>
      </c>
      <c r="I19">
        <f>INDEX(HATI!D$2:D$71, MATCH($A19, HATI!$A$2:$A$71,0))</f>
        <v>0</v>
      </c>
      <c r="J19">
        <f>INDEX(HATI!E$2:E$71, MATCH($A19, HATI!$A$2:$A$71,0))</f>
        <v>0</v>
      </c>
      <c r="K19">
        <f>INDEX(HATI!F$2:F$71, MATCH($A19, HATI!$A$2:$A$71,0))</f>
        <v>0</v>
      </c>
      <c r="L19">
        <f>INDEX(HATI!G$2:G$71, MATCH($A19, HATI!$A$2:$A$71,0))</f>
        <v>0</v>
      </c>
      <c r="M19" s="19">
        <f>INDEX(HATI!H$2:H$71, MATCH($A19, HATI!$A$2:$A$71,0))</f>
        <v>0</v>
      </c>
      <c r="N19" s="18">
        <f>INDEX(MABA!D$2:D$71, MATCH($A19, MABA!$A$2:$A$71,0))</f>
        <v>0</v>
      </c>
      <c r="O19">
        <f>INDEX(MABA!E$2:E$71, MATCH($A19, MABA!$A$2:$A$71,0))</f>
        <v>0</v>
      </c>
      <c r="P19">
        <f>INDEX(MABA!F$2:F$71, MATCH($A19, MABA!$A$2:$A$71,0))</f>
        <v>2</v>
      </c>
      <c r="Q19">
        <f>INDEX(MABA!G$2:G$71, MATCH($A19, MABA!$A$2:$A$71,0))</f>
        <v>0</v>
      </c>
      <c r="R19" s="19">
        <f>INDEX(MABA!H$2:H$71, MATCH($A19, MABA!$A$2:$A$71,0))</f>
        <v>0</v>
      </c>
      <c r="S19">
        <f t="shared" si="0"/>
        <v>0</v>
      </c>
      <c r="T19" s="20">
        <f t="shared" si="1"/>
        <v>0</v>
      </c>
      <c r="U19" s="20">
        <f t="shared" si="2"/>
        <v>1</v>
      </c>
      <c r="V19" s="20">
        <f t="shared" si="3"/>
        <v>0</v>
      </c>
      <c r="W19" s="20">
        <f t="shared" si="4"/>
        <v>0</v>
      </c>
    </row>
    <row r="20" spans="1:23" x14ac:dyDescent="0.2">
      <c r="A20" s="11" t="s">
        <v>111</v>
      </c>
      <c r="B20" t="s">
        <v>326</v>
      </c>
      <c r="C20">
        <v>682</v>
      </c>
      <c r="D20" s="18">
        <v>0</v>
      </c>
      <c r="E20">
        <v>0</v>
      </c>
      <c r="F20">
        <v>1</v>
      </c>
      <c r="G20">
        <v>0</v>
      </c>
      <c r="H20" s="19">
        <v>1</v>
      </c>
      <c r="I20">
        <f>INDEX(HATI!D$2:D$71, MATCH($A20, HATI!$A$2:$A$71,0))</f>
        <v>0</v>
      </c>
      <c r="J20">
        <f>INDEX(HATI!E$2:E$71, MATCH($A20, HATI!$A$2:$A$71,0))</f>
        <v>1</v>
      </c>
      <c r="K20">
        <f>INDEX(HATI!F$2:F$71, MATCH($A20, HATI!$A$2:$A$71,0))</f>
        <v>2</v>
      </c>
      <c r="L20">
        <f>INDEX(HATI!G$2:G$71, MATCH($A20, HATI!$A$2:$A$71,0))</f>
        <v>2</v>
      </c>
      <c r="M20" s="19">
        <f>INDEX(HATI!H$2:H$71, MATCH($A20, HATI!$A$2:$A$71,0))</f>
        <v>2</v>
      </c>
      <c r="N20" s="18">
        <f>INDEX(MABA!D$2:D$71, MATCH($A20, MABA!$A$2:$A$71,0))</f>
        <v>0</v>
      </c>
      <c r="O20">
        <f>INDEX(MABA!E$2:E$71, MATCH($A20, MABA!$A$2:$A$71,0))</f>
        <v>3</v>
      </c>
      <c r="P20">
        <f>INDEX(MABA!F$2:F$71, MATCH($A20, MABA!$A$2:$A$71,0))</f>
        <v>4</v>
      </c>
      <c r="Q20">
        <f>INDEX(MABA!G$2:G$71, MATCH($A20, MABA!$A$2:$A$71,0))</f>
        <v>6</v>
      </c>
      <c r="R20" s="19">
        <f>INDEX(MABA!H$2:H$71, MATCH($A20, MABA!$A$2:$A$71,0))</f>
        <v>3</v>
      </c>
      <c r="S20">
        <f t="shared" si="0"/>
        <v>0</v>
      </c>
      <c r="T20" s="20">
        <f t="shared" si="1"/>
        <v>1.3333333333333333</v>
      </c>
      <c r="U20" s="20">
        <f t="shared" si="2"/>
        <v>2.3333333333333335</v>
      </c>
      <c r="V20" s="20">
        <f t="shared" si="3"/>
        <v>2.6666666666666665</v>
      </c>
      <c r="W20" s="20">
        <f t="shared" si="4"/>
        <v>2</v>
      </c>
    </row>
    <row r="21" spans="1:23" x14ac:dyDescent="0.2">
      <c r="A21" s="11" t="s">
        <v>115</v>
      </c>
      <c r="B21" t="s">
        <v>326</v>
      </c>
      <c r="C21">
        <v>901</v>
      </c>
      <c r="D21" s="18">
        <v>0</v>
      </c>
      <c r="E21">
        <v>0</v>
      </c>
      <c r="F21">
        <v>1</v>
      </c>
      <c r="G21">
        <v>0</v>
      </c>
      <c r="H21" s="19">
        <v>0</v>
      </c>
      <c r="I21">
        <f>INDEX(HATI!D$2:D$71, MATCH($A21, HATI!$A$2:$A$71,0))</f>
        <v>0</v>
      </c>
      <c r="J21">
        <f>INDEX(HATI!E$2:E$71, MATCH($A21, HATI!$A$2:$A$71,0))</f>
        <v>0</v>
      </c>
      <c r="K21">
        <f>INDEX(HATI!F$2:F$71, MATCH($A21, HATI!$A$2:$A$71,0))</f>
        <v>1</v>
      </c>
      <c r="L21">
        <f>INDEX(HATI!G$2:G$71, MATCH($A21, HATI!$A$2:$A$71,0))</f>
        <v>0</v>
      </c>
      <c r="M21" s="19">
        <f>INDEX(HATI!H$2:H$71, MATCH($A21, HATI!$A$2:$A$71,0))</f>
        <v>1</v>
      </c>
      <c r="N21" s="18">
        <f>INDEX(MABA!D$2:D$71, MATCH($A21, MABA!$A$2:$A$71,0))</f>
        <v>0</v>
      </c>
      <c r="O21">
        <f>INDEX(MABA!E$2:E$71, MATCH($A21, MABA!$A$2:$A$71,0))</f>
        <v>1</v>
      </c>
      <c r="P21">
        <f>INDEX(MABA!F$2:F$71, MATCH($A21, MABA!$A$2:$A$71,0))</f>
        <v>2</v>
      </c>
      <c r="Q21">
        <f>INDEX(MABA!G$2:G$71, MATCH($A21, MABA!$A$2:$A$71,0))</f>
        <v>0</v>
      </c>
      <c r="R21" s="19">
        <f>INDEX(MABA!H$2:H$71, MATCH($A21, MABA!$A$2:$A$71,0))</f>
        <v>0</v>
      </c>
      <c r="S21">
        <f t="shared" si="0"/>
        <v>0</v>
      </c>
      <c r="T21" s="20">
        <f t="shared" si="1"/>
        <v>0.33333333333333331</v>
      </c>
      <c r="U21" s="20">
        <f t="shared" si="2"/>
        <v>1.3333333333333333</v>
      </c>
      <c r="V21" s="20">
        <f t="shared" si="3"/>
        <v>0</v>
      </c>
      <c r="W21" s="20">
        <f t="shared" si="4"/>
        <v>0.33333333333333331</v>
      </c>
    </row>
    <row r="22" spans="1:23" x14ac:dyDescent="0.2">
      <c r="A22" s="11" t="s">
        <v>120</v>
      </c>
      <c r="B22" t="s">
        <v>326</v>
      </c>
      <c r="C22">
        <v>1247</v>
      </c>
      <c r="D22" s="18">
        <v>0</v>
      </c>
      <c r="E22">
        <v>0</v>
      </c>
      <c r="F22">
        <v>1</v>
      </c>
      <c r="G22">
        <v>0</v>
      </c>
      <c r="H22" s="19">
        <v>0</v>
      </c>
      <c r="I22">
        <f>INDEX(HATI!D$2:D$71, MATCH($A22, HATI!$A$2:$A$71,0))</f>
        <v>0</v>
      </c>
      <c r="J22">
        <f>INDEX(HATI!E$2:E$71, MATCH($A22, HATI!$A$2:$A$71,0))</f>
        <v>0</v>
      </c>
      <c r="K22">
        <f>INDEX(HATI!F$2:F$71, MATCH($A22, HATI!$A$2:$A$71,0))</f>
        <v>2</v>
      </c>
      <c r="L22">
        <f>INDEX(HATI!G$2:G$71, MATCH($A22, HATI!$A$2:$A$71,0))</f>
        <v>1</v>
      </c>
      <c r="M22" s="19">
        <f>INDEX(HATI!H$2:H$71, MATCH($A22, HATI!$A$2:$A$71,0))</f>
        <v>2</v>
      </c>
      <c r="N22" s="18">
        <f>INDEX(MABA!D$2:D$71, MATCH($A22, MABA!$A$2:$A$71,0))</f>
        <v>0</v>
      </c>
      <c r="O22">
        <f>INDEX(MABA!E$2:E$71, MATCH($A22, MABA!$A$2:$A$71,0))</f>
        <v>1</v>
      </c>
      <c r="P22">
        <f>INDEX(MABA!F$2:F$71, MATCH($A22, MABA!$A$2:$A$71,0))</f>
        <v>2</v>
      </c>
      <c r="Q22">
        <f>INDEX(MABA!G$2:G$71, MATCH($A22, MABA!$A$2:$A$71,0))</f>
        <v>3</v>
      </c>
      <c r="R22" s="19">
        <f>INDEX(MABA!H$2:H$71, MATCH($A22, MABA!$A$2:$A$71,0))</f>
        <v>0</v>
      </c>
      <c r="S22">
        <f t="shared" si="0"/>
        <v>0</v>
      </c>
      <c r="T22" s="20">
        <f t="shared" si="1"/>
        <v>0.33333333333333331</v>
      </c>
      <c r="U22" s="20">
        <f t="shared" si="2"/>
        <v>1.6666666666666667</v>
      </c>
      <c r="V22" s="20">
        <f t="shared" si="3"/>
        <v>1.3333333333333333</v>
      </c>
      <c r="W22" s="20">
        <f t="shared" si="4"/>
        <v>0.66666666666666663</v>
      </c>
    </row>
    <row r="23" spans="1:23" x14ac:dyDescent="0.2">
      <c r="A23" s="11" t="s">
        <v>125</v>
      </c>
      <c r="B23" t="s">
        <v>325</v>
      </c>
      <c r="C23">
        <v>124</v>
      </c>
      <c r="D23" s="18">
        <v>0</v>
      </c>
      <c r="E23">
        <v>0</v>
      </c>
      <c r="F23">
        <v>1</v>
      </c>
      <c r="G23">
        <v>0</v>
      </c>
      <c r="H23" s="19">
        <v>0</v>
      </c>
      <c r="I23">
        <f>INDEX(HATI!D$2:D$71, MATCH($A23, HATI!$A$2:$A$71,0))</f>
        <v>0</v>
      </c>
      <c r="J23">
        <f>INDEX(HATI!E$2:E$71, MATCH($A23, HATI!$A$2:$A$71,0))</f>
        <v>0</v>
      </c>
      <c r="K23">
        <f>INDEX(HATI!F$2:F$71, MATCH($A23, HATI!$A$2:$A$71,0))</f>
        <v>1</v>
      </c>
      <c r="L23">
        <f>INDEX(HATI!G$2:G$71, MATCH($A23, HATI!$A$2:$A$71,0))</f>
        <v>0</v>
      </c>
      <c r="M23" s="19">
        <f>INDEX(HATI!H$2:H$71, MATCH($A23, HATI!$A$2:$A$71,0))</f>
        <v>1</v>
      </c>
      <c r="N23" s="18">
        <f>INDEX(MABA!D$2:D$71, MATCH($A23, MABA!$A$2:$A$71,0))</f>
        <v>0</v>
      </c>
      <c r="O23">
        <f>INDEX(MABA!E$2:E$71, MATCH($A23, MABA!$A$2:$A$71,0))</f>
        <v>0</v>
      </c>
      <c r="P23">
        <f>INDEX(MABA!F$2:F$71, MATCH($A23, MABA!$A$2:$A$71,0))</f>
        <v>1</v>
      </c>
      <c r="Q23">
        <f>INDEX(MABA!G$2:G$71, MATCH($A23, MABA!$A$2:$A$71,0))</f>
        <v>0</v>
      </c>
      <c r="R23" s="19">
        <f>INDEX(MABA!H$2:H$71, MATCH($A23, MABA!$A$2:$A$71,0))</f>
        <v>0</v>
      </c>
      <c r="S23">
        <f t="shared" si="0"/>
        <v>0</v>
      </c>
      <c r="T23" s="20">
        <f t="shared" si="1"/>
        <v>0</v>
      </c>
      <c r="U23" s="20">
        <f t="shared" si="2"/>
        <v>1</v>
      </c>
      <c r="V23" s="20">
        <f t="shared" si="3"/>
        <v>0</v>
      </c>
      <c r="W23" s="20">
        <f t="shared" si="4"/>
        <v>0.33333333333333331</v>
      </c>
    </row>
    <row r="24" spans="1:23" x14ac:dyDescent="0.2">
      <c r="A24" s="11" t="s">
        <v>129</v>
      </c>
      <c r="B24" t="s">
        <v>325</v>
      </c>
      <c r="C24">
        <v>357</v>
      </c>
      <c r="D24" s="18">
        <v>0</v>
      </c>
      <c r="E24">
        <v>0</v>
      </c>
      <c r="F24">
        <v>1</v>
      </c>
      <c r="G24">
        <v>0</v>
      </c>
      <c r="H24" s="19">
        <v>0</v>
      </c>
      <c r="I24">
        <f>INDEX(HATI!D$2:D$71, MATCH($A24, HATI!$A$2:$A$71,0))</f>
        <v>0</v>
      </c>
      <c r="J24">
        <f>INDEX(HATI!E$2:E$71, MATCH($A24, HATI!$A$2:$A$71,0))</f>
        <v>0</v>
      </c>
      <c r="K24">
        <f>INDEX(HATI!F$2:F$71, MATCH($A24, HATI!$A$2:$A$71,0))</f>
        <v>0</v>
      </c>
      <c r="L24">
        <f>INDEX(HATI!G$2:G$71, MATCH($A24, HATI!$A$2:$A$71,0))</f>
        <v>0</v>
      </c>
      <c r="M24" s="19">
        <f>INDEX(HATI!H$2:H$71, MATCH($A24, HATI!$A$2:$A$71,0))</f>
        <v>0</v>
      </c>
      <c r="N24" s="18">
        <f>INDEX(MABA!D$2:D$71, MATCH($A24, MABA!$A$2:$A$71,0))</f>
        <v>0</v>
      </c>
      <c r="O24">
        <f>INDEX(MABA!E$2:E$71, MATCH($A24, MABA!$A$2:$A$71,0))</f>
        <v>0</v>
      </c>
      <c r="P24">
        <f>INDEX(MABA!F$2:F$71, MATCH($A24, MABA!$A$2:$A$71,0))</f>
        <v>3</v>
      </c>
      <c r="Q24">
        <f>INDEX(MABA!G$2:G$71, MATCH($A24, MABA!$A$2:$A$71,0))</f>
        <v>0</v>
      </c>
      <c r="R24" s="19">
        <f>INDEX(MABA!H$2:H$71, MATCH($A24, MABA!$A$2:$A$71,0))</f>
        <v>0</v>
      </c>
      <c r="S24">
        <f t="shared" si="0"/>
        <v>0</v>
      </c>
      <c r="T24" s="20">
        <f t="shared" si="1"/>
        <v>0</v>
      </c>
      <c r="U24" s="20">
        <f t="shared" si="2"/>
        <v>1.3333333333333333</v>
      </c>
      <c r="V24" s="20">
        <f t="shared" si="3"/>
        <v>0</v>
      </c>
      <c r="W24" s="20">
        <f t="shared" si="4"/>
        <v>0</v>
      </c>
    </row>
    <row r="25" spans="1:23" x14ac:dyDescent="0.2">
      <c r="A25" s="11" t="s">
        <v>133</v>
      </c>
      <c r="B25" t="s">
        <v>325</v>
      </c>
      <c r="C25">
        <v>682</v>
      </c>
      <c r="D25" s="18">
        <v>0</v>
      </c>
      <c r="E25">
        <v>0</v>
      </c>
      <c r="F25">
        <v>1</v>
      </c>
      <c r="G25">
        <v>0</v>
      </c>
      <c r="H25" s="19">
        <v>0</v>
      </c>
      <c r="I25">
        <f>INDEX(HATI!D$2:D$71, MATCH($A25, HATI!$A$2:$A$71,0))</f>
        <v>0</v>
      </c>
      <c r="J25">
        <f>INDEX(HATI!E$2:E$71, MATCH($A25, HATI!$A$2:$A$71,0))</f>
        <v>0</v>
      </c>
      <c r="K25">
        <f>INDEX(HATI!F$2:F$71, MATCH($A25, HATI!$A$2:$A$71,0))</f>
        <v>1</v>
      </c>
      <c r="L25">
        <f>INDEX(HATI!G$2:G$71, MATCH($A25, HATI!$A$2:$A$71,0))</f>
        <v>0</v>
      </c>
      <c r="M25" s="19">
        <f>INDEX(HATI!H$2:H$71, MATCH($A25, HATI!$A$2:$A$71,0))</f>
        <v>1</v>
      </c>
      <c r="N25" s="18">
        <f>INDEX(MABA!D$2:D$71, MATCH($A25, MABA!$A$2:$A$71,0))</f>
        <v>0</v>
      </c>
      <c r="O25">
        <f>INDEX(MABA!E$2:E$71, MATCH($A25, MABA!$A$2:$A$71,0))</f>
        <v>0</v>
      </c>
      <c r="P25">
        <f>INDEX(MABA!F$2:F$71, MATCH($A25, MABA!$A$2:$A$71,0))</f>
        <v>3</v>
      </c>
      <c r="Q25">
        <f>INDEX(MABA!G$2:G$71, MATCH($A25, MABA!$A$2:$A$71,0))</f>
        <v>1</v>
      </c>
      <c r="R25" s="19">
        <f>INDEX(MABA!H$2:H$71, MATCH($A25, MABA!$A$2:$A$71,0))</f>
        <v>0</v>
      </c>
      <c r="S25">
        <f t="shared" si="0"/>
        <v>0</v>
      </c>
      <c r="T25" s="20">
        <f t="shared" si="1"/>
        <v>0</v>
      </c>
      <c r="U25" s="20">
        <f t="shared" si="2"/>
        <v>1.6666666666666667</v>
      </c>
      <c r="V25" s="20">
        <f t="shared" si="3"/>
        <v>0.33333333333333331</v>
      </c>
      <c r="W25" s="20">
        <f t="shared" si="4"/>
        <v>0.33333333333333331</v>
      </c>
    </row>
    <row r="26" spans="1:23" x14ac:dyDescent="0.2">
      <c r="A26" s="11" t="s">
        <v>136</v>
      </c>
      <c r="B26" t="s">
        <v>325</v>
      </c>
      <c r="C26">
        <v>901</v>
      </c>
      <c r="D26" s="18">
        <v>0</v>
      </c>
      <c r="E26">
        <v>0</v>
      </c>
      <c r="F26">
        <v>1</v>
      </c>
      <c r="G26">
        <v>0</v>
      </c>
      <c r="H26" s="19">
        <v>0</v>
      </c>
      <c r="I26">
        <f>INDEX(HATI!D$2:D$71, MATCH($A26, HATI!$A$2:$A$71,0))</f>
        <v>0</v>
      </c>
      <c r="J26">
        <f>INDEX(HATI!E$2:E$71, MATCH($A26, HATI!$A$2:$A$71,0))</f>
        <v>0</v>
      </c>
      <c r="K26">
        <f>INDEX(HATI!F$2:F$71, MATCH($A26, HATI!$A$2:$A$71,0))</f>
        <v>0</v>
      </c>
      <c r="L26">
        <f>INDEX(HATI!G$2:G$71, MATCH($A26, HATI!$A$2:$A$71,0))</f>
        <v>0</v>
      </c>
      <c r="M26" s="19">
        <f>INDEX(HATI!H$2:H$71, MATCH($A26, HATI!$A$2:$A$71,0))</f>
        <v>0</v>
      </c>
      <c r="N26" s="18">
        <f>INDEX(MABA!D$2:D$71, MATCH($A26, MABA!$A$2:$A$71,0))</f>
        <v>0</v>
      </c>
      <c r="O26">
        <f>INDEX(MABA!E$2:E$71, MATCH($A26, MABA!$A$2:$A$71,0))</f>
        <v>0</v>
      </c>
      <c r="P26">
        <f>INDEX(MABA!F$2:F$71, MATCH($A26, MABA!$A$2:$A$71,0))</f>
        <v>2</v>
      </c>
      <c r="Q26">
        <f>INDEX(MABA!G$2:G$71, MATCH($A26, MABA!$A$2:$A$71,0))</f>
        <v>0</v>
      </c>
      <c r="R26" s="19">
        <f>INDEX(MABA!H$2:H$71, MATCH($A26, MABA!$A$2:$A$71,0))</f>
        <v>0</v>
      </c>
      <c r="S26">
        <f t="shared" si="0"/>
        <v>0</v>
      </c>
      <c r="T26" s="20">
        <f t="shared" si="1"/>
        <v>0</v>
      </c>
      <c r="U26" s="20">
        <f t="shared" si="2"/>
        <v>1</v>
      </c>
      <c r="V26" s="20">
        <f t="shared" si="3"/>
        <v>0</v>
      </c>
      <c r="W26" s="20">
        <f t="shared" si="4"/>
        <v>0</v>
      </c>
    </row>
    <row r="27" spans="1:23" x14ac:dyDescent="0.2">
      <c r="A27" s="11" t="s">
        <v>139</v>
      </c>
      <c r="B27" t="s">
        <v>325</v>
      </c>
      <c r="C27">
        <v>1247</v>
      </c>
      <c r="D27" s="18">
        <v>0</v>
      </c>
      <c r="E27">
        <v>0</v>
      </c>
      <c r="F27">
        <v>0</v>
      </c>
      <c r="G27">
        <v>0</v>
      </c>
      <c r="H27" s="19">
        <v>0</v>
      </c>
      <c r="I27">
        <f>INDEX(HATI!D$2:D$71, MATCH($A27, HATI!$A$2:$A$71,0))</f>
        <v>0</v>
      </c>
      <c r="J27">
        <f>INDEX(HATI!E$2:E$71, MATCH($A27, HATI!$A$2:$A$71,0))</f>
        <v>0</v>
      </c>
      <c r="K27">
        <f>INDEX(HATI!F$2:F$71, MATCH($A27, HATI!$A$2:$A$71,0))</f>
        <v>1</v>
      </c>
      <c r="L27">
        <f>INDEX(HATI!G$2:G$71, MATCH($A27, HATI!$A$2:$A$71,0))</f>
        <v>0</v>
      </c>
      <c r="M27" s="19">
        <f>INDEX(HATI!H$2:H$71, MATCH($A27, HATI!$A$2:$A$71,0))</f>
        <v>1</v>
      </c>
      <c r="N27" s="18">
        <f>INDEX(MABA!D$2:D$71, MATCH($A27, MABA!$A$2:$A$71,0))</f>
        <v>0</v>
      </c>
      <c r="O27">
        <f>INDEX(MABA!E$2:E$71, MATCH($A27, MABA!$A$2:$A$71,0))</f>
        <v>0</v>
      </c>
      <c r="P27">
        <f>INDEX(MABA!F$2:F$71, MATCH($A27, MABA!$A$2:$A$71,0))</f>
        <v>1</v>
      </c>
      <c r="Q27">
        <f>INDEX(MABA!G$2:G$71, MATCH($A27, MABA!$A$2:$A$71,0))</f>
        <v>0</v>
      </c>
      <c r="R27" s="19">
        <f>INDEX(MABA!H$2:H$71, MATCH($A27, MABA!$A$2:$A$71,0))</f>
        <v>0</v>
      </c>
      <c r="S27">
        <f t="shared" si="0"/>
        <v>0</v>
      </c>
      <c r="T27" s="20">
        <f t="shared" si="1"/>
        <v>0</v>
      </c>
      <c r="U27" s="20">
        <f t="shared" si="2"/>
        <v>0.66666666666666663</v>
      </c>
      <c r="V27" s="20">
        <f t="shared" si="3"/>
        <v>0</v>
      </c>
      <c r="W27" s="20">
        <f t="shared" si="4"/>
        <v>0.33333333333333331</v>
      </c>
    </row>
    <row r="28" spans="1:23" x14ac:dyDescent="0.2">
      <c r="A28" s="11" t="s">
        <v>154</v>
      </c>
      <c r="B28" t="s">
        <v>327</v>
      </c>
      <c r="C28">
        <v>124</v>
      </c>
      <c r="D28" s="18">
        <v>0</v>
      </c>
      <c r="E28">
        <v>0</v>
      </c>
      <c r="F28">
        <v>1</v>
      </c>
      <c r="G28">
        <v>0</v>
      </c>
      <c r="H28" s="19">
        <v>0</v>
      </c>
      <c r="I28">
        <f>INDEX(HATI!D$2:D$71, MATCH($A28, HATI!$A$2:$A$71,0))</f>
        <v>0</v>
      </c>
      <c r="J28">
        <f>INDEX(HATI!E$2:E$71, MATCH($A28, HATI!$A$2:$A$71,0))</f>
        <v>0</v>
      </c>
      <c r="K28">
        <f>INDEX(HATI!F$2:F$71, MATCH($A28, HATI!$A$2:$A$71,0))</f>
        <v>1</v>
      </c>
      <c r="L28">
        <f>INDEX(HATI!G$2:G$71, MATCH($A28, HATI!$A$2:$A$71,0))</f>
        <v>0</v>
      </c>
      <c r="M28" s="19">
        <f>INDEX(HATI!H$2:H$71, MATCH($A28, HATI!$A$2:$A$71,0))</f>
        <v>1</v>
      </c>
      <c r="N28" s="18">
        <f>INDEX(MABA!D$2:D$71, MATCH($A28, MABA!$A$2:$A$71,0))</f>
        <v>0</v>
      </c>
      <c r="O28">
        <f>INDEX(MABA!E$2:E$71, MATCH($A28, MABA!$A$2:$A$71,0))</f>
        <v>0</v>
      </c>
      <c r="P28">
        <f>INDEX(MABA!F$2:F$71, MATCH($A28, MABA!$A$2:$A$71,0))</f>
        <v>2</v>
      </c>
      <c r="Q28">
        <f>INDEX(MABA!G$2:G$71, MATCH($A28, MABA!$A$2:$A$71,0))</f>
        <v>0</v>
      </c>
      <c r="R28" s="19">
        <f>INDEX(MABA!H$2:H$71, MATCH($A28, MABA!$A$2:$A$71,0))</f>
        <v>0</v>
      </c>
      <c r="S28">
        <f t="shared" si="0"/>
        <v>0</v>
      </c>
      <c r="T28" s="20">
        <f t="shared" si="1"/>
        <v>0</v>
      </c>
      <c r="U28" s="20">
        <f t="shared" si="2"/>
        <v>1.3333333333333333</v>
      </c>
      <c r="V28" s="20">
        <f t="shared" si="3"/>
        <v>0</v>
      </c>
      <c r="W28" s="20">
        <f t="shared" si="4"/>
        <v>0.33333333333333331</v>
      </c>
    </row>
    <row r="29" spans="1:23" x14ac:dyDescent="0.2">
      <c r="A29" s="11" t="s">
        <v>158</v>
      </c>
      <c r="B29" t="s">
        <v>327</v>
      </c>
      <c r="C29">
        <v>357</v>
      </c>
      <c r="D29" s="18">
        <v>0</v>
      </c>
      <c r="E29">
        <v>0</v>
      </c>
      <c r="F29">
        <v>1</v>
      </c>
      <c r="G29">
        <v>0</v>
      </c>
      <c r="H29" s="19">
        <v>0</v>
      </c>
      <c r="I29">
        <f>INDEX(HATI!D$2:D$71, MATCH($A29, HATI!$A$2:$A$71,0))</f>
        <v>0</v>
      </c>
      <c r="J29">
        <f>INDEX(HATI!E$2:E$71, MATCH($A29, HATI!$A$2:$A$71,0))</f>
        <v>0</v>
      </c>
      <c r="K29">
        <f>INDEX(HATI!F$2:F$71, MATCH($A29, HATI!$A$2:$A$71,0))</f>
        <v>0</v>
      </c>
      <c r="L29">
        <f>INDEX(HATI!G$2:G$71, MATCH($A29, HATI!$A$2:$A$71,0))</f>
        <v>0</v>
      </c>
      <c r="M29" s="19">
        <f>INDEX(HATI!H$2:H$71, MATCH($A29, HATI!$A$2:$A$71,0))</f>
        <v>0</v>
      </c>
      <c r="N29" s="18">
        <f>INDEX(MABA!D$2:D$71, MATCH($A29, MABA!$A$2:$A$71,0))</f>
        <v>0</v>
      </c>
      <c r="O29">
        <f>INDEX(MABA!E$2:E$71, MATCH($A29, MABA!$A$2:$A$71,0))</f>
        <v>0</v>
      </c>
      <c r="P29">
        <f>INDEX(MABA!F$2:F$71, MATCH($A29, MABA!$A$2:$A$71,0))</f>
        <v>2</v>
      </c>
      <c r="Q29">
        <f>INDEX(MABA!G$2:G$71, MATCH($A29, MABA!$A$2:$A$71,0))</f>
        <v>0</v>
      </c>
      <c r="R29" s="19">
        <f>INDEX(MABA!H$2:H$71, MATCH($A29, MABA!$A$2:$A$71,0))</f>
        <v>0</v>
      </c>
      <c r="S29">
        <f t="shared" si="0"/>
        <v>0</v>
      </c>
      <c r="T29" s="20">
        <f t="shared" si="1"/>
        <v>0</v>
      </c>
      <c r="U29" s="20">
        <f t="shared" si="2"/>
        <v>1</v>
      </c>
      <c r="V29" s="20">
        <f t="shared" si="3"/>
        <v>0</v>
      </c>
      <c r="W29" s="20">
        <f t="shared" si="4"/>
        <v>0</v>
      </c>
    </row>
    <row r="30" spans="1:23" x14ac:dyDescent="0.2">
      <c r="A30" s="11" t="s">
        <v>144</v>
      </c>
      <c r="B30" t="s">
        <v>327</v>
      </c>
      <c r="C30">
        <v>682</v>
      </c>
      <c r="D30" s="18">
        <v>0</v>
      </c>
      <c r="E30">
        <v>0</v>
      </c>
      <c r="F30">
        <v>0</v>
      </c>
      <c r="G30">
        <v>0</v>
      </c>
      <c r="H30" s="19">
        <v>0</v>
      </c>
      <c r="I30">
        <f>INDEX(HATI!D$2:D$71, MATCH($A30, HATI!$A$2:$A$71,0))</f>
        <v>0</v>
      </c>
      <c r="J30">
        <f>INDEX(HATI!E$2:E$71, MATCH($A30, HATI!$A$2:$A$71,0))</f>
        <v>0</v>
      </c>
      <c r="K30">
        <f>INDEX(HATI!F$2:F$71, MATCH($A30, HATI!$A$2:$A$71,0))</f>
        <v>1</v>
      </c>
      <c r="L30">
        <f>INDEX(HATI!G$2:G$71, MATCH($A30, HATI!$A$2:$A$71,0))</f>
        <v>0</v>
      </c>
      <c r="M30" s="19">
        <f>INDEX(HATI!H$2:H$71, MATCH($A30, HATI!$A$2:$A$71,0))</f>
        <v>1</v>
      </c>
      <c r="N30" s="18">
        <f>INDEX(MABA!D$2:D$71, MATCH($A30, MABA!$A$2:$A$71,0))</f>
        <v>0</v>
      </c>
      <c r="O30">
        <f>INDEX(MABA!E$2:E$71, MATCH($A30, MABA!$A$2:$A$71,0))</f>
        <v>0</v>
      </c>
      <c r="P30">
        <f>INDEX(MABA!F$2:F$71, MATCH($A30, MABA!$A$2:$A$71,0))</f>
        <v>1</v>
      </c>
      <c r="Q30">
        <f>INDEX(MABA!G$2:G$71, MATCH($A30, MABA!$A$2:$A$71,0))</f>
        <v>0</v>
      </c>
      <c r="R30" s="19">
        <f>INDEX(MABA!H$2:H$71, MATCH($A30, MABA!$A$2:$A$71,0))</f>
        <v>0</v>
      </c>
      <c r="S30">
        <f t="shared" si="0"/>
        <v>0</v>
      </c>
      <c r="T30" s="20">
        <f t="shared" si="1"/>
        <v>0</v>
      </c>
      <c r="U30" s="20">
        <f t="shared" si="2"/>
        <v>0.66666666666666663</v>
      </c>
      <c r="V30" s="20">
        <f t="shared" si="3"/>
        <v>0</v>
      </c>
      <c r="W30" s="20">
        <f t="shared" si="4"/>
        <v>0.33333333333333331</v>
      </c>
    </row>
    <row r="31" spans="1:23" x14ac:dyDescent="0.2">
      <c r="A31" s="11" t="s">
        <v>147</v>
      </c>
      <c r="B31" t="s">
        <v>327</v>
      </c>
      <c r="C31">
        <v>901</v>
      </c>
      <c r="D31" s="18">
        <v>0</v>
      </c>
      <c r="E31">
        <v>0</v>
      </c>
      <c r="F31">
        <v>1</v>
      </c>
      <c r="G31">
        <v>0</v>
      </c>
      <c r="H31" s="19">
        <v>0</v>
      </c>
      <c r="I31">
        <f>INDEX(HATI!D$2:D$71, MATCH($A31, HATI!$A$2:$A$71,0))</f>
        <v>0</v>
      </c>
      <c r="J31">
        <f>INDEX(HATI!E$2:E$71, MATCH($A31, HATI!$A$2:$A$71,0))</f>
        <v>0</v>
      </c>
      <c r="K31">
        <f>INDEX(HATI!F$2:F$71, MATCH($A31, HATI!$A$2:$A$71,0))</f>
        <v>0</v>
      </c>
      <c r="L31">
        <f>INDEX(HATI!G$2:G$71, MATCH($A31, HATI!$A$2:$A$71,0))</f>
        <v>0</v>
      </c>
      <c r="M31" s="19">
        <f>INDEX(HATI!H$2:H$71, MATCH($A31, HATI!$A$2:$A$71,0))</f>
        <v>0</v>
      </c>
      <c r="N31" s="18">
        <f>INDEX(MABA!D$2:D$71, MATCH($A31, MABA!$A$2:$A$71,0))</f>
        <v>0</v>
      </c>
      <c r="O31">
        <f>INDEX(MABA!E$2:E$71, MATCH($A31, MABA!$A$2:$A$71,0))</f>
        <v>0</v>
      </c>
      <c r="P31">
        <f>INDEX(MABA!F$2:F$71, MATCH($A31, MABA!$A$2:$A$71,0))</f>
        <v>2</v>
      </c>
      <c r="Q31">
        <f>INDEX(MABA!G$2:G$71, MATCH($A31, MABA!$A$2:$A$71,0))</f>
        <v>0</v>
      </c>
      <c r="R31" s="19">
        <f>INDEX(MABA!H$2:H$71, MATCH($A31, MABA!$A$2:$A$71,0))</f>
        <v>0</v>
      </c>
      <c r="S31">
        <f t="shared" si="0"/>
        <v>0</v>
      </c>
      <c r="T31" s="20">
        <f t="shared" si="1"/>
        <v>0</v>
      </c>
      <c r="U31" s="20">
        <f t="shared" si="2"/>
        <v>1</v>
      </c>
      <c r="V31" s="20">
        <f t="shared" si="3"/>
        <v>0</v>
      </c>
      <c r="W31" s="20">
        <f t="shared" si="4"/>
        <v>0</v>
      </c>
    </row>
    <row r="32" spans="1:23" x14ac:dyDescent="0.2">
      <c r="A32" s="11" t="s">
        <v>150</v>
      </c>
      <c r="B32" t="s">
        <v>327</v>
      </c>
      <c r="C32">
        <v>1247</v>
      </c>
      <c r="D32" s="18">
        <v>0</v>
      </c>
      <c r="E32">
        <v>0</v>
      </c>
      <c r="F32">
        <v>1</v>
      </c>
      <c r="G32">
        <v>0</v>
      </c>
      <c r="H32" s="19">
        <v>0</v>
      </c>
      <c r="I32">
        <f>INDEX(HATI!D$2:D$71, MATCH($A32, HATI!$A$2:$A$71,0))</f>
        <v>0</v>
      </c>
      <c r="J32">
        <f>INDEX(HATI!E$2:E$71, MATCH($A32, HATI!$A$2:$A$71,0))</f>
        <v>0</v>
      </c>
      <c r="K32">
        <f>INDEX(HATI!F$2:F$71, MATCH($A32, HATI!$A$2:$A$71,0))</f>
        <v>2</v>
      </c>
      <c r="L32">
        <f>INDEX(HATI!G$2:G$71, MATCH($A32, HATI!$A$2:$A$71,0))</f>
        <v>0</v>
      </c>
      <c r="M32" s="19">
        <f>INDEX(HATI!H$2:H$71, MATCH($A32, HATI!$A$2:$A$71,0))</f>
        <v>1</v>
      </c>
      <c r="N32" s="18">
        <f>INDEX(MABA!D$2:D$71, MATCH($A32, MABA!$A$2:$A$71,0))</f>
        <v>0</v>
      </c>
      <c r="O32">
        <f>INDEX(MABA!E$2:E$71, MATCH($A32, MABA!$A$2:$A$71,0))</f>
        <v>3</v>
      </c>
      <c r="P32">
        <f>INDEX(MABA!F$2:F$71, MATCH($A32, MABA!$A$2:$A$71,0))</f>
        <v>2</v>
      </c>
      <c r="Q32">
        <f>INDEX(MABA!G$2:G$71, MATCH($A32, MABA!$A$2:$A$71,0))</f>
        <v>5</v>
      </c>
      <c r="R32" s="19">
        <f>INDEX(MABA!H$2:H$71, MATCH($A32, MABA!$A$2:$A$71,0))</f>
        <v>2</v>
      </c>
      <c r="S32">
        <f t="shared" si="0"/>
        <v>0</v>
      </c>
      <c r="T32" s="20">
        <f t="shared" si="1"/>
        <v>1</v>
      </c>
      <c r="U32" s="20">
        <f t="shared" si="2"/>
        <v>1.6666666666666667</v>
      </c>
      <c r="V32" s="20">
        <f t="shared" si="3"/>
        <v>1.6666666666666667</v>
      </c>
      <c r="W32" s="20">
        <f t="shared" si="4"/>
        <v>1</v>
      </c>
    </row>
    <row r="33" spans="1:23" x14ac:dyDescent="0.2">
      <c r="A33" s="11" t="s">
        <v>163</v>
      </c>
      <c r="B33" t="s">
        <v>329</v>
      </c>
      <c r="C33">
        <v>124</v>
      </c>
      <c r="D33" s="18">
        <v>0</v>
      </c>
      <c r="E33">
        <v>0</v>
      </c>
      <c r="F33">
        <v>1</v>
      </c>
      <c r="G33">
        <v>0</v>
      </c>
      <c r="H33" s="19">
        <v>1</v>
      </c>
      <c r="I33">
        <f>INDEX(HATI!D$2:D$71, MATCH($A33, HATI!$A$2:$A$71,0))</f>
        <v>0</v>
      </c>
      <c r="J33">
        <f>INDEX(HATI!E$2:E$71, MATCH($A33, HATI!$A$2:$A$71,0))</f>
        <v>0</v>
      </c>
      <c r="K33">
        <f>INDEX(HATI!F$2:F$71, MATCH($A33, HATI!$A$2:$A$71,0))</f>
        <v>1</v>
      </c>
      <c r="L33">
        <f>INDEX(HATI!G$2:G$71, MATCH($A33, HATI!$A$2:$A$71,0))</f>
        <v>0</v>
      </c>
      <c r="M33" s="19">
        <f>INDEX(HATI!H$2:H$71, MATCH($A33, HATI!$A$2:$A$71,0))</f>
        <v>1</v>
      </c>
      <c r="N33" s="18">
        <f>INDEX(MABA!D$2:D$71, MATCH($A33, MABA!$A$2:$A$71,0))</f>
        <v>0</v>
      </c>
      <c r="O33">
        <f>INDEX(MABA!E$2:E$71, MATCH($A33, MABA!$A$2:$A$71,0))</f>
        <v>0</v>
      </c>
      <c r="P33">
        <f>INDEX(MABA!F$2:F$71, MATCH($A33, MABA!$A$2:$A$71,0))</f>
        <v>3</v>
      </c>
      <c r="Q33">
        <f>INDEX(MABA!G$2:G$71, MATCH($A33, MABA!$A$2:$A$71,0))</f>
        <v>0</v>
      </c>
      <c r="R33" s="19">
        <f>INDEX(MABA!H$2:H$71, MATCH($A33, MABA!$A$2:$A$71,0))</f>
        <v>0</v>
      </c>
      <c r="S33">
        <f t="shared" si="0"/>
        <v>0</v>
      </c>
      <c r="T33" s="20">
        <f t="shared" si="1"/>
        <v>0</v>
      </c>
      <c r="U33" s="20">
        <f t="shared" si="2"/>
        <v>1.6666666666666667</v>
      </c>
      <c r="V33" s="20">
        <f t="shared" si="3"/>
        <v>0</v>
      </c>
      <c r="W33" s="20">
        <f t="shared" si="4"/>
        <v>0.66666666666666663</v>
      </c>
    </row>
    <row r="34" spans="1:23" x14ac:dyDescent="0.2">
      <c r="A34" s="11" t="s">
        <v>166</v>
      </c>
      <c r="B34" t="s">
        <v>329</v>
      </c>
      <c r="C34">
        <v>357</v>
      </c>
      <c r="D34" s="18">
        <v>0</v>
      </c>
      <c r="E34">
        <v>0</v>
      </c>
      <c r="F34">
        <v>1</v>
      </c>
      <c r="G34">
        <v>0</v>
      </c>
      <c r="H34" s="19">
        <v>0</v>
      </c>
      <c r="I34">
        <f>INDEX(HATI!D$2:D$71, MATCH($A34, HATI!$A$2:$A$71,0))</f>
        <v>0</v>
      </c>
      <c r="J34">
        <f>INDEX(HATI!E$2:E$71, MATCH($A34, HATI!$A$2:$A$71,0))</f>
        <v>0</v>
      </c>
      <c r="K34">
        <f>INDEX(HATI!F$2:F$71, MATCH($A34, HATI!$A$2:$A$71,0))</f>
        <v>0</v>
      </c>
      <c r="L34">
        <f>INDEX(HATI!G$2:G$71, MATCH($A34, HATI!$A$2:$A$71,0))</f>
        <v>0</v>
      </c>
      <c r="M34" s="19">
        <f>INDEX(HATI!H$2:H$71, MATCH($A34, HATI!$A$2:$A$71,0))</f>
        <v>0</v>
      </c>
      <c r="N34" s="18">
        <f>INDEX(MABA!D$2:D$71, MATCH($A34, MABA!$A$2:$A$71,0))</f>
        <v>0</v>
      </c>
      <c r="O34">
        <f>INDEX(MABA!E$2:E$71, MATCH($A34, MABA!$A$2:$A$71,0))</f>
        <v>0</v>
      </c>
      <c r="P34">
        <f>INDEX(MABA!F$2:F$71, MATCH($A34, MABA!$A$2:$A$71,0))</f>
        <v>2</v>
      </c>
      <c r="Q34">
        <f>INDEX(MABA!G$2:G$71, MATCH($A34, MABA!$A$2:$A$71,0))</f>
        <v>0</v>
      </c>
      <c r="R34" s="19">
        <f>INDEX(MABA!H$2:H$71, MATCH($A34, MABA!$A$2:$A$71,0))</f>
        <v>0</v>
      </c>
      <c r="S34">
        <f t="shared" si="0"/>
        <v>0</v>
      </c>
      <c r="T34" s="20">
        <f t="shared" si="1"/>
        <v>0</v>
      </c>
      <c r="U34" s="20">
        <f t="shared" si="2"/>
        <v>1</v>
      </c>
      <c r="V34" s="20">
        <f t="shared" si="3"/>
        <v>0</v>
      </c>
      <c r="W34" s="20">
        <f t="shared" si="4"/>
        <v>0</v>
      </c>
    </row>
    <row r="35" spans="1:23" x14ac:dyDescent="0.2">
      <c r="A35" s="11" t="s">
        <v>169</v>
      </c>
      <c r="B35" t="s">
        <v>329</v>
      </c>
      <c r="C35">
        <v>682</v>
      </c>
      <c r="D35" s="18">
        <v>0</v>
      </c>
      <c r="E35">
        <v>0</v>
      </c>
      <c r="F35">
        <v>1</v>
      </c>
      <c r="G35">
        <v>0</v>
      </c>
      <c r="H35" s="19">
        <v>0</v>
      </c>
      <c r="I35">
        <f>INDEX(HATI!D$2:D$71, MATCH($A35, HATI!$A$2:$A$71,0))</f>
        <v>0</v>
      </c>
      <c r="J35">
        <f>INDEX(HATI!E$2:E$71, MATCH($A35, HATI!$A$2:$A$71,0))</f>
        <v>0</v>
      </c>
      <c r="K35">
        <f>INDEX(HATI!F$2:F$71, MATCH($A35, HATI!$A$2:$A$71,0))</f>
        <v>1</v>
      </c>
      <c r="L35">
        <f>INDEX(HATI!G$2:G$71, MATCH($A35, HATI!$A$2:$A$71,0))</f>
        <v>0</v>
      </c>
      <c r="M35" s="19">
        <f>INDEX(HATI!H$2:H$71, MATCH($A35, HATI!$A$2:$A$71,0))</f>
        <v>1</v>
      </c>
      <c r="N35" s="18">
        <f>INDEX(MABA!D$2:D$71, MATCH($A35, MABA!$A$2:$A$71,0))</f>
        <v>0</v>
      </c>
      <c r="O35">
        <f>INDEX(MABA!E$2:E$71, MATCH($A35, MABA!$A$2:$A$71,0))</f>
        <v>0</v>
      </c>
      <c r="P35">
        <f>INDEX(MABA!F$2:F$71, MATCH($A35, MABA!$A$2:$A$71,0))</f>
        <v>2</v>
      </c>
      <c r="Q35">
        <f>INDEX(MABA!G$2:G$71, MATCH($A35, MABA!$A$2:$A$71,0))</f>
        <v>0</v>
      </c>
      <c r="R35" s="19">
        <f>INDEX(MABA!H$2:H$71, MATCH($A35, MABA!$A$2:$A$71,0))</f>
        <v>1</v>
      </c>
      <c r="S35">
        <f t="shared" si="0"/>
        <v>0</v>
      </c>
      <c r="T35" s="20">
        <f t="shared" si="1"/>
        <v>0</v>
      </c>
      <c r="U35" s="20">
        <f t="shared" si="2"/>
        <v>1.3333333333333333</v>
      </c>
      <c r="V35" s="20">
        <f t="shared" si="3"/>
        <v>0</v>
      </c>
      <c r="W35" s="20">
        <f t="shared" si="4"/>
        <v>0.66666666666666663</v>
      </c>
    </row>
    <row r="36" spans="1:23" x14ac:dyDescent="0.2">
      <c r="A36" s="11" t="s">
        <v>172</v>
      </c>
      <c r="B36" t="s">
        <v>329</v>
      </c>
      <c r="C36">
        <v>901</v>
      </c>
      <c r="D36" s="18">
        <v>0</v>
      </c>
      <c r="E36">
        <v>0</v>
      </c>
      <c r="F36">
        <v>1</v>
      </c>
      <c r="G36">
        <v>0</v>
      </c>
      <c r="H36" s="19">
        <v>0</v>
      </c>
      <c r="I36">
        <f>INDEX(HATI!D$2:D$71, MATCH($A36, HATI!$A$2:$A$71,0))</f>
        <v>0</v>
      </c>
      <c r="J36">
        <f>INDEX(HATI!E$2:E$71, MATCH($A36, HATI!$A$2:$A$71,0))</f>
        <v>0</v>
      </c>
      <c r="K36">
        <f>INDEX(HATI!F$2:F$71, MATCH($A36, HATI!$A$2:$A$71,0))</f>
        <v>0</v>
      </c>
      <c r="L36">
        <f>INDEX(HATI!G$2:G$71, MATCH($A36, HATI!$A$2:$A$71,0))</f>
        <v>0</v>
      </c>
      <c r="M36" s="19">
        <f>INDEX(HATI!H$2:H$71, MATCH($A36, HATI!$A$2:$A$71,0))</f>
        <v>0</v>
      </c>
      <c r="N36" s="18">
        <f>INDEX(MABA!D$2:D$71, MATCH($A36, MABA!$A$2:$A$71,0))</f>
        <v>0</v>
      </c>
      <c r="O36">
        <f>INDEX(MABA!E$2:E$71, MATCH($A36, MABA!$A$2:$A$71,0))</f>
        <v>0</v>
      </c>
      <c r="P36">
        <f>INDEX(MABA!F$2:F$71, MATCH($A36, MABA!$A$2:$A$71,0))</f>
        <v>2</v>
      </c>
      <c r="Q36">
        <f>INDEX(MABA!G$2:G$71, MATCH($A36, MABA!$A$2:$A$71,0))</f>
        <v>0</v>
      </c>
      <c r="R36" s="19">
        <f>INDEX(MABA!H$2:H$71, MATCH($A36, MABA!$A$2:$A$71,0))</f>
        <v>0</v>
      </c>
      <c r="S36">
        <f t="shared" ref="S36:S72" si="5">AVERAGE(N36,I36,D36)</f>
        <v>0</v>
      </c>
      <c r="T36" s="20">
        <f t="shared" si="1"/>
        <v>0</v>
      </c>
      <c r="U36" s="20">
        <f t="shared" si="2"/>
        <v>1</v>
      </c>
      <c r="V36" s="20">
        <f t="shared" si="3"/>
        <v>0</v>
      </c>
      <c r="W36" s="20">
        <f t="shared" si="4"/>
        <v>0</v>
      </c>
    </row>
    <row r="37" spans="1:23" x14ac:dyDescent="0.2">
      <c r="A37" s="11" t="s">
        <v>176</v>
      </c>
      <c r="B37" t="s">
        <v>329</v>
      </c>
      <c r="C37">
        <v>1247</v>
      </c>
      <c r="D37" s="18">
        <v>0</v>
      </c>
      <c r="E37">
        <v>0</v>
      </c>
      <c r="F37">
        <v>1</v>
      </c>
      <c r="G37">
        <v>0</v>
      </c>
      <c r="H37" s="19">
        <v>0</v>
      </c>
      <c r="I37">
        <f>INDEX(HATI!D$2:D$71, MATCH($A37, HATI!$A$2:$A$71,0))</f>
        <v>0</v>
      </c>
      <c r="J37">
        <f>INDEX(HATI!E$2:E$71, MATCH($A37, HATI!$A$2:$A$71,0))</f>
        <v>0</v>
      </c>
      <c r="K37">
        <f>INDEX(HATI!F$2:F$71, MATCH($A37, HATI!$A$2:$A$71,0))</f>
        <v>1</v>
      </c>
      <c r="L37">
        <f>INDEX(HATI!G$2:G$71, MATCH($A37, HATI!$A$2:$A$71,0))</f>
        <v>0</v>
      </c>
      <c r="M37" s="19">
        <f>INDEX(HATI!H$2:H$71, MATCH($A37, HATI!$A$2:$A$71,0))</f>
        <v>1</v>
      </c>
      <c r="N37" s="18">
        <f>INDEX(MABA!D$2:D$71, MATCH($A37, MABA!$A$2:$A$71,0))</f>
        <v>0</v>
      </c>
      <c r="O37">
        <f>INDEX(MABA!E$2:E$71, MATCH($A37, MABA!$A$2:$A$71,0))</f>
        <v>1</v>
      </c>
      <c r="P37">
        <f>INDEX(MABA!F$2:F$71, MATCH($A37, MABA!$A$2:$A$71,0))</f>
        <v>1</v>
      </c>
      <c r="Q37">
        <f>INDEX(MABA!G$2:G$71, MATCH($A37, MABA!$A$2:$A$71,0))</f>
        <v>0</v>
      </c>
      <c r="R37" s="19">
        <f>INDEX(MABA!H$2:H$71, MATCH($A37, MABA!$A$2:$A$71,0))</f>
        <v>1</v>
      </c>
      <c r="S37">
        <f t="shared" si="5"/>
        <v>0</v>
      </c>
      <c r="T37" s="20">
        <f t="shared" si="1"/>
        <v>0.33333333333333331</v>
      </c>
      <c r="U37" s="20">
        <f t="shared" si="2"/>
        <v>1</v>
      </c>
      <c r="V37" s="20">
        <f t="shared" si="3"/>
        <v>0</v>
      </c>
      <c r="W37" s="20">
        <f t="shared" si="4"/>
        <v>0.66666666666666663</v>
      </c>
    </row>
    <row r="38" spans="1:23" x14ac:dyDescent="0.2">
      <c r="A38" s="11" t="s">
        <v>184</v>
      </c>
      <c r="B38" t="s">
        <v>328</v>
      </c>
      <c r="C38">
        <v>124</v>
      </c>
      <c r="D38" s="18">
        <v>0</v>
      </c>
      <c r="E38">
        <v>1</v>
      </c>
      <c r="F38">
        <v>2</v>
      </c>
      <c r="G38">
        <v>0</v>
      </c>
      <c r="H38" s="19">
        <v>2</v>
      </c>
      <c r="I38">
        <f>INDEX(HATI!D$2:D$71, MATCH($A38, HATI!$A$2:$A$71,0))</f>
        <v>0</v>
      </c>
      <c r="J38">
        <f>INDEX(HATI!E$2:E$71, MATCH($A38, HATI!$A$2:$A$71,0))</f>
        <v>1</v>
      </c>
      <c r="K38">
        <f>INDEX(HATI!F$2:F$71, MATCH($A38, HATI!$A$2:$A$71,0))</f>
        <v>3</v>
      </c>
      <c r="L38">
        <f>INDEX(HATI!G$2:G$71, MATCH($A38, HATI!$A$2:$A$71,0))</f>
        <v>0</v>
      </c>
      <c r="M38" s="19">
        <f>INDEX(HATI!H$2:H$71, MATCH($A38, HATI!$A$2:$A$71,0))</f>
        <v>3</v>
      </c>
      <c r="N38" s="18">
        <f>INDEX(MABA!D$2:D$71, MATCH($A38, MABA!$A$2:$A$71,0))</f>
        <v>0</v>
      </c>
      <c r="O38">
        <f>INDEX(MABA!E$2:E$71, MATCH($A38, MABA!$A$2:$A$71,0))</f>
        <v>3</v>
      </c>
      <c r="P38">
        <f>INDEX(MABA!F$2:F$71, MATCH($A38, MABA!$A$2:$A$71,0))</f>
        <v>2</v>
      </c>
      <c r="Q38">
        <f>INDEX(MABA!G$2:G$71, MATCH($A38, MABA!$A$2:$A$71,0))</f>
        <v>0</v>
      </c>
      <c r="R38" s="19">
        <f>INDEX(MABA!H$2:H$71, MATCH($A38, MABA!$A$2:$A$71,0))</f>
        <v>1</v>
      </c>
      <c r="S38">
        <f t="shared" si="5"/>
        <v>0</v>
      </c>
      <c r="T38" s="20">
        <f t="shared" si="1"/>
        <v>1.6666666666666667</v>
      </c>
      <c r="U38" s="20">
        <f t="shared" si="2"/>
        <v>2.3333333333333335</v>
      </c>
      <c r="V38" s="20">
        <f t="shared" si="3"/>
        <v>0</v>
      </c>
      <c r="W38" s="20">
        <f t="shared" si="4"/>
        <v>2</v>
      </c>
    </row>
    <row r="39" spans="1:23" x14ac:dyDescent="0.2">
      <c r="A39" s="11" t="s">
        <v>186</v>
      </c>
      <c r="B39" t="s">
        <v>328</v>
      </c>
      <c r="C39">
        <v>357</v>
      </c>
      <c r="D39" s="18">
        <v>0</v>
      </c>
      <c r="E39">
        <v>0</v>
      </c>
      <c r="F39">
        <v>1</v>
      </c>
      <c r="G39">
        <v>0</v>
      </c>
      <c r="H39" s="19">
        <v>0</v>
      </c>
      <c r="I39">
        <f>INDEX(HATI!D$2:D$71, MATCH($A39, HATI!$A$2:$A$71,0))</f>
        <v>0</v>
      </c>
      <c r="J39">
        <f>INDEX(HATI!E$2:E$71, MATCH($A39, HATI!$A$2:$A$71,0))</f>
        <v>0</v>
      </c>
      <c r="K39">
        <f>INDEX(HATI!F$2:F$71, MATCH($A39, HATI!$A$2:$A$71,0))</f>
        <v>1</v>
      </c>
      <c r="L39">
        <f>INDEX(HATI!G$2:G$71, MATCH($A39, HATI!$A$2:$A$71,0))</f>
        <v>0</v>
      </c>
      <c r="M39" s="19">
        <f>INDEX(HATI!H$2:H$71, MATCH($A39, HATI!$A$2:$A$71,0))</f>
        <v>1</v>
      </c>
      <c r="N39" s="18">
        <f>INDEX(MABA!D$2:D$71, MATCH($A39, MABA!$A$2:$A$71,0))</f>
        <v>0</v>
      </c>
      <c r="O39">
        <f>INDEX(MABA!E$2:E$71, MATCH($A39, MABA!$A$2:$A$71,0))</f>
        <v>0</v>
      </c>
      <c r="P39">
        <f>INDEX(MABA!F$2:F$71, MATCH($A39, MABA!$A$2:$A$71,0))</f>
        <v>2</v>
      </c>
      <c r="Q39">
        <f>INDEX(MABA!G$2:G$71, MATCH($A39, MABA!$A$2:$A$71,0))</f>
        <v>0</v>
      </c>
      <c r="R39" s="19">
        <f>INDEX(MABA!H$2:H$71, MATCH($A39, MABA!$A$2:$A$71,0))</f>
        <v>0</v>
      </c>
      <c r="S39">
        <f t="shared" si="5"/>
        <v>0</v>
      </c>
      <c r="T39" s="20">
        <f t="shared" si="1"/>
        <v>0</v>
      </c>
      <c r="U39" s="20">
        <f t="shared" si="2"/>
        <v>1.3333333333333333</v>
      </c>
      <c r="V39" s="20">
        <f t="shared" si="3"/>
        <v>0</v>
      </c>
      <c r="W39" s="20">
        <f t="shared" si="4"/>
        <v>0.33333333333333331</v>
      </c>
    </row>
    <row r="40" spans="1:23" x14ac:dyDescent="0.2">
      <c r="A40" s="11" t="s">
        <v>188</v>
      </c>
      <c r="B40" t="s">
        <v>328</v>
      </c>
      <c r="C40">
        <v>682</v>
      </c>
      <c r="D40" s="18">
        <v>0</v>
      </c>
      <c r="E40">
        <v>2</v>
      </c>
      <c r="F40">
        <v>2</v>
      </c>
      <c r="G40">
        <v>0</v>
      </c>
      <c r="H40" s="19">
        <v>2</v>
      </c>
      <c r="I40">
        <f>INDEX(HATI!D$2:D$71, MATCH($A40, HATI!$A$2:$A$71,0))</f>
        <v>0</v>
      </c>
      <c r="J40">
        <f>INDEX(HATI!E$2:E$71, MATCH($A40, HATI!$A$2:$A$71,0))</f>
        <v>1</v>
      </c>
      <c r="K40">
        <f>INDEX(HATI!F$2:F$71, MATCH($A40, HATI!$A$2:$A$71,0))</f>
        <v>3</v>
      </c>
      <c r="L40">
        <f>INDEX(HATI!G$2:G$71, MATCH($A40, HATI!$A$2:$A$71,0))</f>
        <v>0</v>
      </c>
      <c r="M40" s="19">
        <f>INDEX(HATI!H$2:H$71, MATCH($A40, HATI!$A$2:$A$71,0))</f>
        <v>3</v>
      </c>
      <c r="N40" s="18">
        <f>INDEX(MABA!D$2:D$71, MATCH($A40, MABA!$A$2:$A$71,0))</f>
        <v>0</v>
      </c>
      <c r="O40">
        <f>INDEX(MABA!E$2:E$71, MATCH($A40, MABA!$A$2:$A$71,0))</f>
        <v>2</v>
      </c>
      <c r="P40">
        <f>INDEX(MABA!F$2:F$71, MATCH($A40, MABA!$A$2:$A$71,0))</f>
        <v>4</v>
      </c>
      <c r="Q40">
        <f>INDEX(MABA!G$2:G$71, MATCH($A40, MABA!$A$2:$A$71,0))</f>
        <v>1</v>
      </c>
      <c r="R40" s="19">
        <f>INDEX(MABA!H$2:H$71, MATCH($A40, MABA!$A$2:$A$71,0))</f>
        <v>2</v>
      </c>
      <c r="S40">
        <f t="shared" si="5"/>
        <v>0</v>
      </c>
      <c r="T40" s="20">
        <f t="shared" si="1"/>
        <v>1.6666666666666667</v>
      </c>
      <c r="U40" s="20">
        <f t="shared" si="2"/>
        <v>3</v>
      </c>
      <c r="V40" s="20">
        <f t="shared" si="3"/>
        <v>0.33333333333333331</v>
      </c>
      <c r="W40" s="20">
        <f t="shared" si="4"/>
        <v>2.3333333333333335</v>
      </c>
    </row>
    <row r="41" spans="1:23" x14ac:dyDescent="0.2">
      <c r="A41" s="11" t="s">
        <v>180</v>
      </c>
      <c r="B41" t="s">
        <v>328</v>
      </c>
      <c r="C41">
        <v>901</v>
      </c>
      <c r="D41" s="18">
        <v>0</v>
      </c>
      <c r="E41">
        <v>2</v>
      </c>
      <c r="F41">
        <v>2</v>
      </c>
      <c r="G41">
        <v>0</v>
      </c>
      <c r="H41" s="19">
        <v>1</v>
      </c>
      <c r="I41">
        <f>INDEX(HATI!D$2:D$71, MATCH($A41, HATI!$A$2:$A$71,0))</f>
        <v>0</v>
      </c>
      <c r="J41">
        <f>INDEX(HATI!E$2:E$71, MATCH($A41, HATI!$A$2:$A$71,0))</f>
        <v>1</v>
      </c>
      <c r="K41">
        <f>INDEX(HATI!F$2:F$71, MATCH($A41, HATI!$A$2:$A$71,0))</f>
        <v>3</v>
      </c>
      <c r="L41">
        <f>INDEX(HATI!G$2:G$71, MATCH($A41, HATI!$A$2:$A$71,0))</f>
        <v>0</v>
      </c>
      <c r="M41" s="19">
        <f>INDEX(HATI!H$2:H$71, MATCH($A41, HATI!$A$2:$A$71,0))</f>
        <v>3</v>
      </c>
      <c r="N41" s="18">
        <f>INDEX(MABA!D$2:D$71, MATCH($A41, MABA!$A$2:$A$71,0))</f>
        <v>0</v>
      </c>
      <c r="O41">
        <f>INDEX(MABA!E$2:E$71, MATCH($A41, MABA!$A$2:$A$71,0))</f>
        <v>2</v>
      </c>
      <c r="P41">
        <f>INDEX(MABA!F$2:F$71, MATCH($A41, MABA!$A$2:$A$71,0))</f>
        <v>3</v>
      </c>
      <c r="Q41">
        <f>INDEX(MABA!G$2:G$71, MATCH($A41, MABA!$A$2:$A$71,0))</f>
        <v>1</v>
      </c>
      <c r="R41" s="19">
        <f>INDEX(MABA!H$2:H$71, MATCH($A41, MABA!$A$2:$A$71,0))</f>
        <v>1</v>
      </c>
      <c r="S41">
        <f t="shared" si="5"/>
        <v>0</v>
      </c>
      <c r="T41" s="20">
        <f t="shared" si="1"/>
        <v>1.6666666666666667</v>
      </c>
      <c r="U41" s="20">
        <f t="shared" si="2"/>
        <v>2.6666666666666665</v>
      </c>
      <c r="V41" s="20">
        <f t="shared" si="3"/>
        <v>0.33333333333333331</v>
      </c>
      <c r="W41" s="20">
        <f t="shared" si="4"/>
        <v>1.6666666666666667</v>
      </c>
    </row>
    <row r="42" spans="1:23" x14ac:dyDescent="0.2">
      <c r="A42" s="11" t="s">
        <v>182</v>
      </c>
      <c r="B42" t="s">
        <v>328</v>
      </c>
      <c r="C42">
        <v>1247</v>
      </c>
      <c r="D42" s="18">
        <v>0</v>
      </c>
      <c r="E42">
        <v>0</v>
      </c>
      <c r="F42">
        <v>1</v>
      </c>
      <c r="G42">
        <v>0</v>
      </c>
      <c r="H42" s="19">
        <v>1</v>
      </c>
      <c r="I42">
        <f>INDEX(HATI!D$2:D$71, MATCH($A42, HATI!$A$2:$A$71,0))</f>
        <v>0</v>
      </c>
      <c r="J42">
        <f>INDEX(HATI!E$2:E$71, MATCH($A42, HATI!$A$2:$A$71,0))</f>
        <v>0</v>
      </c>
      <c r="K42">
        <f>INDEX(HATI!F$2:F$71, MATCH($A42, HATI!$A$2:$A$71,0))</f>
        <v>1</v>
      </c>
      <c r="L42">
        <f>INDEX(HATI!G$2:G$71, MATCH($A42, HATI!$A$2:$A$71,0))</f>
        <v>0</v>
      </c>
      <c r="M42" s="19">
        <f>INDEX(HATI!H$2:H$71, MATCH($A42, HATI!$A$2:$A$71,0))</f>
        <v>1</v>
      </c>
      <c r="N42" s="18">
        <f>INDEX(MABA!D$2:D$71, MATCH($A42, MABA!$A$2:$A$71,0))</f>
        <v>0</v>
      </c>
      <c r="O42">
        <f>INDEX(MABA!E$2:E$71, MATCH($A42, MABA!$A$2:$A$71,0))</f>
        <v>1</v>
      </c>
      <c r="P42">
        <f>INDEX(MABA!F$2:F$71, MATCH($A42, MABA!$A$2:$A$71,0))</f>
        <v>3</v>
      </c>
      <c r="Q42">
        <f>INDEX(MABA!G$2:G$71, MATCH($A42, MABA!$A$2:$A$71,0))</f>
        <v>0</v>
      </c>
      <c r="R42" s="19">
        <f>INDEX(MABA!H$2:H$71, MATCH($A42, MABA!$A$2:$A$71,0))</f>
        <v>1</v>
      </c>
      <c r="S42">
        <f t="shared" si="5"/>
        <v>0</v>
      </c>
      <c r="T42" s="20">
        <f t="shared" si="1"/>
        <v>0.33333333333333331</v>
      </c>
      <c r="U42" s="20">
        <f t="shared" si="2"/>
        <v>1.6666666666666667</v>
      </c>
      <c r="V42" s="20">
        <f t="shared" si="3"/>
        <v>0</v>
      </c>
      <c r="W42" s="20">
        <f t="shared" si="4"/>
        <v>1</v>
      </c>
    </row>
    <row r="43" spans="1:23" x14ac:dyDescent="0.2">
      <c r="A43" s="11" t="s">
        <v>206</v>
      </c>
      <c r="B43" t="s">
        <v>330</v>
      </c>
      <c r="C43">
        <v>124</v>
      </c>
      <c r="D43" s="18">
        <v>0</v>
      </c>
      <c r="E43">
        <v>3</v>
      </c>
      <c r="F43">
        <v>5</v>
      </c>
      <c r="G43">
        <v>3</v>
      </c>
      <c r="H43" s="19">
        <v>3</v>
      </c>
      <c r="I43">
        <f>INDEX(HATI!D$2:D$71, MATCH($A43, HATI!$A$2:$A$71,0))</f>
        <v>0</v>
      </c>
      <c r="J43">
        <f>INDEX(HATI!E$2:E$71, MATCH($A43, HATI!$A$2:$A$71,0))</f>
        <v>5</v>
      </c>
      <c r="K43">
        <f>INDEX(HATI!F$2:F$71, MATCH($A43, HATI!$A$2:$A$71,0))</f>
        <v>5</v>
      </c>
      <c r="L43">
        <f>INDEX(HATI!G$2:G$71, MATCH($A43, HATI!$A$2:$A$71,0))</f>
        <v>6</v>
      </c>
      <c r="M43" s="19">
        <f>INDEX(HATI!H$2:H$71, MATCH($A43, HATI!$A$2:$A$71,0))</f>
        <v>6</v>
      </c>
      <c r="N43" s="18">
        <f>INDEX(MABA!D$2:D$71, MATCH($A43, MABA!$A$2:$A$71,0))</f>
        <v>0</v>
      </c>
      <c r="O43">
        <f>INDEX(MABA!E$2:E$71, MATCH($A43, MABA!$A$2:$A$71,0))</f>
        <v>2</v>
      </c>
      <c r="P43">
        <f>INDEX(MABA!F$2:F$71, MATCH($A43, MABA!$A$2:$A$71,0))</f>
        <v>3</v>
      </c>
      <c r="Q43">
        <f>INDEX(MABA!G$2:G$71, MATCH($A43, MABA!$A$2:$A$71,0))</f>
        <v>1</v>
      </c>
      <c r="R43" s="19">
        <f>INDEX(MABA!H$2:H$71, MATCH($A43, MABA!$A$2:$A$71,0))</f>
        <v>1</v>
      </c>
      <c r="S43">
        <f t="shared" si="5"/>
        <v>0</v>
      </c>
      <c r="T43" s="20">
        <f t="shared" si="1"/>
        <v>3.3333333333333335</v>
      </c>
      <c r="U43" s="20">
        <f t="shared" si="2"/>
        <v>4.333333333333333</v>
      </c>
      <c r="V43" s="20">
        <f t="shared" si="3"/>
        <v>3.3333333333333335</v>
      </c>
      <c r="W43" s="20">
        <f t="shared" si="4"/>
        <v>3.3333333333333335</v>
      </c>
    </row>
    <row r="44" spans="1:23" x14ac:dyDescent="0.2">
      <c r="A44" s="11" t="s">
        <v>210</v>
      </c>
      <c r="B44" t="s">
        <v>330</v>
      </c>
      <c r="C44">
        <v>357</v>
      </c>
      <c r="D44" s="18">
        <v>0</v>
      </c>
      <c r="E44">
        <v>1</v>
      </c>
      <c r="F44">
        <v>2</v>
      </c>
      <c r="G44">
        <v>0</v>
      </c>
      <c r="H44" s="19">
        <v>2</v>
      </c>
      <c r="I44">
        <f>INDEX(HATI!D$2:D$71, MATCH($A44, HATI!$A$2:$A$71,0))</f>
        <v>0</v>
      </c>
      <c r="J44">
        <f>INDEX(HATI!E$2:E$71, MATCH($A44, HATI!$A$2:$A$71,0))</f>
        <v>0</v>
      </c>
      <c r="K44">
        <f>INDEX(HATI!F$2:F$71, MATCH($A44, HATI!$A$2:$A$71,0))</f>
        <v>1</v>
      </c>
      <c r="L44">
        <f>INDEX(HATI!G$2:G$71, MATCH($A44, HATI!$A$2:$A$71,0))</f>
        <v>0</v>
      </c>
      <c r="M44" s="19">
        <f>INDEX(HATI!H$2:H$71, MATCH($A44, HATI!$A$2:$A$71,0))</f>
        <v>1</v>
      </c>
      <c r="N44" s="18">
        <f>INDEX(MABA!D$2:D$71, MATCH($A44, MABA!$A$2:$A$71,0))</f>
        <v>0</v>
      </c>
      <c r="O44">
        <f>INDEX(MABA!E$2:E$71, MATCH($A44, MABA!$A$2:$A$71,0))</f>
        <v>0</v>
      </c>
      <c r="P44">
        <f>INDEX(MABA!F$2:F$71, MATCH($A44, MABA!$A$2:$A$71,0))</f>
        <v>2</v>
      </c>
      <c r="Q44">
        <f>INDEX(MABA!G$2:G$71, MATCH($A44, MABA!$A$2:$A$71,0))</f>
        <v>0</v>
      </c>
      <c r="R44" s="19">
        <f>INDEX(MABA!H$2:H$71, MATCH($A44, MABA!$A$2:$A$71,0))</f>
        <v>0</v>
      </c>
      <c r="S44">
        <f t="shared" si="5"/>
        <v>0</v>
      </c>
      <c r="T44" s="20">
        <f t="shared" si="1"/>
        <v>0.33333333333333331</v>
      </c>
      <c r="U44" s="20">
        <f t="shared" si="2"/>
        <v>1.6666666666666667</v>
      </c>
      <c r="V44" s="20">
        <f t="shared" si="3"/>
        <v>0</v>
      </c>
      <c r="W44" s="20">
        <f t="shared" si="4"/>
        <v>1</v>
      </c>
    </row>
    <row r="45" spans="1:23" x14ac:dyDescent="0.2">
      <c r="A45" s="11" t="s">
        <v>193</v>
      </c>
      <c r="B45" t="s">
        <v>330</v>
      </c>
      <c r="C45">
        <v>682</v>
      </c>
      <c r="D45" s="18">
        <v>0</v>
      </c>
      <c r="E45">
        <v>3</v>
      </c>
      <c r="F45">
        <v>3</v>
      </c>
      <c r="G45">
        <v>3</v>
      </c>
      <c r="H45" s="19">
        <v>2</v>
      </c>
      <c r="I45">
        <f>INDEX(HATI!D$2:D$71, MATCH($A45, HATI!$A$2:$A$71,0))</f>
        <v>0</v>
      </c>
      <c r="J45">
        <f>INDEX(HATI!E$2:E$71, MATCH($A45, HATI!$A$2:$A$71,0))</f>
        <v>0</v>
      </c>
      <c r="K45">
        <f>INDEX(HATI!F$2:F$71, MATCH($A45, HATI!$A$2:$A$71,0))</f>
        <v>1</v>
      </c>
      <c r="L45">
        <f>INDEX(HATI!G$2:G$71, MATCH($A45, HATI!$A$2:$A$71,0))</f>
        <v>0</v>
      </c>
      <c r="M45" s="19">
        <f>INDEX(HATI!H$2:H$71, MATCH($A45, HATI!$A$2:$A$71,0))</f>
        <v>1</v>
      </c>
      <c r="N45" s="18">
        <f>INDEX(MABA!D$2:D$71, MATCH($A45, MABA!$A$2:$A$71,0))</f>
        <v>0</v>
      </c>
      <c r="O45">
        <f>INDEX(MABA!E$2:E$71, MATCH($A45, MABA!$A$2:$A$71,0))</f>
        <v>0</v>
      </c>
      <c r="P45">
        <f>INDEX(MABA!F$2:F$71, MATCH($A45, MABA!$A$2:$A$71,0))</f>
        <v>2</v>
      </c>
      <c r="Q45">
        <f>INDEX(MABA!G$2:G$71, MATCH($A45, MABA!$A$2:$A$71,0))</f>
        <v>0</v>
      </c>
      <c r="R45" s="19">
        <f>INDEX(MABA!H$2:H$71, MATCH($A45, MABA!$A$2:$A$71,0))</f>
        <v>1</v>
      </c>
      <c r="S45">
        <f t="shared" si="5"/>
        <v>0</v>
      </c>
      <c r="T45" s="20">
        <f t="shared" si="1"/>
        <v>1</v>
      </c>
      <c r="U45" s="20">
        <f t="shared" si="2"/>
        <v>2</v>
      </c>
      <c r="V45" s="20">
        <f t="shared" si="3"/>
        <v>1</v>
      </c>
      <c r="W45" s="20">
        <f t="shared" si="4"/>
        <v>1.3333333333333333</v>
      </c>
    </row>
    <row r="46" spans="1:23" x14ac:dyDescent="0.2">
      <c r="A46" s="11" t="s">
        <v>197</v>
      </c>
      <c r="B46" t="s">
        <v>330</v>
      </c>
      <c r="C46">
        <v>901</v>
      </c>
      <c r="D46" s="18">
        <v>0</v>
      </c>
      <c r="E46">
        <v>2</v>
      </c>
      <c r="F46">
        <v>2</v>
      </c>
      <c r="G46">
        <v>0</v>
      </c>
      <c r="H46" s="19">
        <v>2</v>
      </c>
      <c r="I46">
        <f>INDEX(HATI!D$2:D$71, MATCH($A46, HATI!$A$2:$A$71,0))</f>
        <v>0</v>
      </c>
      <c r="J46">
        <f>INDEX(HATI!E$2:E$71, MATCH($A46, HATI!$A$2:$A$71,0))</f>
        <v>5</v>
      </c>
      <c r="K46">
        <f>INDEX(HATI!F$2:F$71, MATCH($A46, HATI!$A$2:$A$71,0))</f>
        <v>4</v>
      </c>
      <c r="L46">
        <f>INDEX(HATI!G$2:G$71, MATCH($A46, HATI!$A$2:$A$71,0))</f>
        <v>1</v>
      </c>
      <c r="M46" s="19">
        <f>INDEX(HATI!H$2:H$71, MATCH($A46, HATI!$A$2:$A$71,0))</f>
        <v>4</v>
      </c>
      <c r="N46" s="18">
        <f>INDEX(MABA!D$2:D$71, MATCH($A46, MABA!$A$2:$A$71,0))</f>
        <v>0</v>
      </c>
      <c r="O46">
        <f>INDEX(MABA!E$2:E$71, MATCH($A46, MABA!$A$2:$A$71,0))</f>
        <v>1</v>
      </c>
      <c r="P46">
        <f>INDEX(MABA!F$2:F$71, MATCH($A46, MABA!$A$2:$A$71,0))</f>
        <v>5</v>
      </c>
      <c r="Q46">
        <f>INDEX(MABA!G$2:G$71, MATCH($A46, MABA!$A$2:$A$71,0))</f>
        <v>0</v>
      </c>
      <c r="R46" s="19">
        <f>INDEX(MABA!H$2:H$71, MATCH($A46, MABA!$A$2:$A$71,0))</f>
        <v>2</v>
      </c>
      <c r="S46">
        <f t="shared" si="5"/>
        <v>0</v>
      </c>
      <c r="T46" s="20">
        <f t="shared" si="1"/>
        <v>2.6666666666666665</v>
      </c>
      <c r="U46" s="20">
        <f t="shared" si="2"/>
        <v>3.6666666666666665</v>
      </c>
      <c r="V46" s="20">
        <f t="shared" si="3"/>
        <v>0.33333333333333331</v>
      </c>
      <c r="W46" s="20">
        <f t="shared" si="4"/>
        <v>2.6666666666666665</v>
      </c>
    </row>
    <row r="47" spans="1:23" x14ac:dyDescent="0.2">
      <c r="A47" s="11" t="s">
        <v>202</v>
      </c>
      <c r="B47" t="s">
        <v>330</v>
      </c>
      <c r="C47">
        <v>1247</v>
      </c>
      <c r="D47" s="18">
        <v>1</v>
      </c>
      <c r="E47">
        <v>2</v>
      </c>
      <c r="F47">
        <v>5</v>
      </c>
      <c r="G47">
        <v>8</v>
      </c>
      <c r="H47" s="19">
        <v>3</v>
      </c>
      <c r="I47">
        <f>INDEX(HATI!D$2:D$71, MATCH($A47, HATI!$A$2:$A$71,0))</f>
        <v>1</v>
      </c>
      <c r="J47">
        <f>INDEX(HATI!E$2:E$71, MATCH($A47, HATI!$A$2:$A$71,0))</f>
        <v>5</v>
      </c>
      <c r="K47">
        <f>INDEX(HATI!F$2:F$71, MATCH($A47, HATI!$A$2:$A$71,0))</f>
        <v>9</v>
      </c>
      <c r="L47">
        <f>INDEX(HATI!G$2:G$71, MATCH($A47, HATI!$A$2:$A$71,0))</f>
        <v>8</v>
      </c>
      <c r="M47" s="19">
        <f>INDEX(HATI!H$2:H$71, MATCH($A47, HATI!$A$2:$A$71,0))</f>
        <v>8</v>
      </c>
      <c r="N47" s="18">
        <f>INDEX(MABA!D$2:D$71, MATCH($A47, MABA!$A$2:$A$71,0))</f>
        <v>1</v>
      </c>
      <c r="O47">
        <f>INDEX(MABA!E$2:E$71, MATCH($A47, MABA!$A$2:$A$71,0))</f>
        <v>7</v>
      </c>
      <c r="P47">
        <f>INDEX(MABA!F$2:F$71, MATCH($A47, MABA!$A$2:$A$71,0))</f>
        <v>6</v>
      </c>
      <c r="Q47">
        <f>INDEX(MABA!G$2:G$71, MATCH($A47, MABA!$A$2:$A$71,0))</f>
        <v>8</v>
      </c>
      <c r="R47" s="19">
        <f>INDEX(MABA!H$2:H$71, MATCH($A47, MABA!$A$2:$A$71,0))</f>
        <v>7</v>
      </c>
      <c r="S47">
        <f t="shared" si="5"/>
        <v>1</v>
      </c>
      <c r="T47" s="20">
        <f t="shared" si="1"/>
        <v>4.666666666666667</v>
      </c>
      <c r="U47" s="20">
        <f t="shared" si="2"/>
        <v>6.666666666666667</v>
      </c>
      <c r="V47" s="20">
        <f t="shared" si="3"/>
        <v>8</v>
      </c>
      <c r="W47" s="20">
        <f t="shared" si="4"/>
        <v>6</v>
      </c>
    </row>
    <row r="48" spans="1:23" x14ac:dyDescent="0.2">
      <c r="A48" s="11" t="s">
        <v>226</v>
      </c>
      <c r="B48" t="s">
        <v>331</v>
      </c>
      <c r="C48">
        <v>124</v>
      </c>
      <c r="D48" s="18">
        <v>0</v>
      </c>
      <c r="E48">
        <v>4</v>
      </c>
      <c r="F48">
        <v>5</v>
      </c>
      <c r="G48">
        <v>8</v>
      </c>
      <c r="H48" s="19">
        <v>4</v>
      </c>
      <c r="I48">
        <f>INDEX(HATI!D$2:D$71, MATCH($A48, HATI!$A$2:$A$71,0))</f>
        <v>0</v>
      </c>
      <c r="J48">
        <f>INDEX(HATI!E$2:E$71, MATCH($A48, HATI!$A$2:$A$71,0))</f>
        <v>3</v>
      </c>
      <c r="K48">
        <f>INDEX(HATI!F$2:F$71, MATCH($A48, HATI!$A$2:$A$71,0))</f>
        <v>5</v>
      </c>
      <c r="L48">
        <f>INDEX(HATI!G$2:G$71, MATCH($A48, HATI!$A$2:$A$71,0))</f>
        <v>2</v>
      </c>
      <c r="M48" s="19">
        <f>INDEX(HATI!H$2:H$71, MATCH($A48, HATI!$A$2:$A$71,0))</f>
        <v>4</v>
      </c>
      <c r="N48" s="18">
        <f>INDEX(MABA!D$2:D$71, MATCH($A48, MABA!$A$2:$A$71,0))</f>
        <v>0</v>
      </c>
      <c r="O48">
        <f>INDEX(MABA!E$2:E$71, MATCH($A48, MABA!$A$2:$A$71,0))</f>
        <v>4</v>
      </c>
      <c r="P48">
        <f>INDEX(MABA!F$2:F$71, MATCH($A48, MABA!$A$2:$A$71,0))</f>
        <v>4</v>
      </c>
      <c r="Q48">
        <f>INDEX(MABA!G$2:G$71, MATCH($A48, MABA!$A$2:$A$71,0))</f>
        <v>8</v>
      </c>
      <c r="R48" s="19">
        <f>INDEX(MABA!H$2:H$71, MATCH($A48, MABA!$A$2:$A$71,0))</f>
        <v>5</v>
      </c>
      <c r="S48">
        <f t="shared" si="5"/>
        <v>0</v>
      </c>
      <c r="T48" s="20">
        <f t="shared" si="1"/>
        <v>3.6666666666666665</v>
      </c>
      <c r="U48" s="20">
        <f t="shared" si="2"/>
        <v>4.666666666666667</v>
      </c>
      <c r="V48" s="20">
        <f t="shared" si="3"/>
        <v>6</v>
      </c>
      <c r="W48" s="20">
        <f t="shared" si="4"/>
        <v>4.333333333333333</v>
      </c>
    </row>
    <row r="49" spans="1:23" x14ac:dyDescent="0.2">
      <c r="A49" s="11" t="s">
        <v>231</v>
      </c>
      <c r="B49" t="s">
        <v>331</v>
      </c>
      <c r="C49">
        <v>357</v>
      </c>
      <c r="D49" s="18">
        <v>0</v>
      </c>
      <c r="E49">
        <v>4</v>
      </c>
      <c r="F49">
        <v>6</v>
      </c>
      <c r="G49">
        <v>8</v>
      </c>
      <c r="H49" s="19">
        <v>4</v>
      </c>
      <c r="I49">
        <f>INDEX(HATI!D$2:D$71, MATCH($A49, HATI!$A$2:$A$71,0))</f>
        <v>0</v>
      </c>
      <c r="J49">
        <f>INDEX(HATI!E$2:E$71, MATCH($A49, HATI!$A$2:$A$71,0))</f>
        <v>4</v>
      </c>
      <c r="K49">
        <f>INDEX(HATI!F$2:F$71, MATCH($A49, HATI!$A$2:$A$71,0))</f>
        <v>6</v>
      </c>
      <c r="L49">
        <f>INDEX(HATI!G$2:G$71, MATCH($A49, HATI!$A$2:$A$71,0))</f>
        <v>4</v>
      </c>
      <c r="M49" s="19">
        <f>INDEX(HATI!H$2:H$71, MATCH($A49, HATI!$A$2:$A$71,0))</f>
        <v>6</v>
      </c>
      <c r="N49" s="18">
        <f>INDEX(MABA!D$2:D$71, MATCH($A49, MABA!$A$2:$A$71,0))</f>
        <v>0</v>
      </c>
      <c r="O49">
        <f>INDEX(MABA!E$2:E$71, MATCH($A49, MABA!$A$2:$A$71,0))</f>
        <v>6</v>
      </c>
      <c r="P49">
        <f>INDEX(MABA!F$2:F$71, MATCH($A49, MABA!$A$2:$A$71,0))</f>
        <v>7</v>
      </c>
      <c r="Q49">
        <f>INDEX(MABA!G$2:G$71, MATCH($A49, MABA!$A$2:$A$71,0))</f>
        <v>8</v>
      </c>
      <c r="R49" s="19">
        <f>INDEX(MABA!H$2:H$71, MATCH($A49, MABA!$A$2:$A$71,0))</f>
        <v>6</v>
      </c>
      <c r="S49">
        <f t="shared" si="5"/>
        <v>0</v>
      </c>
      <c r="T49" s="20">
        <f t="shared" si="1"/>
        <v>4.666666666666667</v>
      </c>
      <c r="U49" s="20">
        <f t="shared" si="2"/>
        <v>6.333333333333333</v>
      </c>
      <c r="V49" s="20">
        <f t="shared" si="3"/>
        <v>6.666666666666667</v>
      </c>
      <c r="W49" s="20">
        <f t="shared" si="4"/>
        <v>5.333333333333333</v>
      </c>
    </row>
    <row r="50" spans="1:23" x14ac:dyDescent="0.2">
      <c r="A50" s="11" t="s">
        <v>215</v>
      </c>
      <c r="B50" t="s">
        <v>331</v>
      </c>
      <c r="C50">
        <v>682</v>
      </c>
      <c r="D50" s="18">
        <v>1</v>
      </c>
      <c r="E50">
        <v>4</v>
      </c>
      <c r="F50">
        <v>8</v>
      </c>
      <c r="G50">
        <v>8</v>
      </c>
      <c r="H50" s="19">
        <v>5</v>
      </c>
      <c r="I50">
        <f>INDEX(HATI!D$2:D$71, MATCH($A50, HATI!$A$2:$A$71,0))</f>
        <v>1</v>
      </c>
      <c r="J50">
        <f>INDEX(HATI!E$2:E$71, MATCH($A50, HATI!$A$2:$A$71,0))</f>
        <v>6</v>
      </c>
      <c r="K50">
        <f>INDEX(HATI!F$2:F$71, MATCH($A50, HATI!$A$2:$A$71,0))</f>
        <v>7</v>
      </c>
      <c r="L50">
        <f>INDEX(HATI!G$2:G$71, MATCH($A50, HATI!$A$2:$A$71,0))</f>
        <v>9</v>
      </c>
      <c r="M50" s="19">
        <f>INDEX(HATI!H$2:H$71, MATCH($A50, HATI!$A$2:$A$71,0))</f>
        <v>8</v>
      </c>
      <c r="N50" s="18">
        <f>INDEX(MABA!D$2:D$71, MATCH($A50, MABA!$A$2:$A$71,0))</f>
        <v>1</v>
      </c>
      <c r="O50">
        <f>INDEX(MABA!E$2:E$71, MATCH($A50, MABA!$A$2:$A$71,0))</f>
        <v>9</v>
      </c>
      <c r="P50">
        <f>INDEX(MABA!F$2:F$71, MATCH($A50, MABA!$A$2:$A$71,0))</f>
        <v>7</v>
      </c>
      <c r="Q50">
        <f>INDEX(MABA!G$2:G$71, MATCH($A50, MABA!$A$2:$A$71,0))</f>
        <v>10</v>
      </c>
      <c r="R50" s="19">
        <f>INDEX(MABA!H$2:H$71, MATCH($A50, MABA!$A$2:$A$71,0))</f>
        <v>8</v>
      </c>
      <c r="S50">
        <f t="shared" si="5"/>
        <v>1</v>
      </c>
      <c r="T50" s="20">
        <f t="shared" si="1"/>
        <v>6.333333333333333</v>
      </c>
      <c r="U50" s="20">
        <f t="shared" si="2"/>
        <v>7.333333333333333</v>
      </c>
      <c r="V50" s="20">
        <f t="shared" si="3"/>
        <v>9</v>
      </c>
      <c r="W50" s="20">
        <f t="shared" si="4"/>
        <v>7</v>
      </c>
    </row>
    <row r="51" spans="1:23" x14ac:dyDescent="0.2">
      <c r="A51" s="11" t="s">
        <v>218</v>
      </c>
      <c r="B51" t="s">
        <v>331</v>
      </c>
      <c r="C51">
        <v>901</v>
      </c>
      <c r="D51" s="18">
        <v>0</v>
      </c>
      <c r="E51">
        <v>3</v>
      </c>
      <c r="F51">
        <v>5</v>
      </c>
      <c r="G51">
        <v>4</v>
      </c>
      <c r="H51" s="19">
        <v>3</v>
      </c>
      <c r="I51">
        <f>INDEX(HATI!D$2:D$71, MATCH($A51, HATI!$A$2:$A$71,0))</f>
        <v>0</v>
      </c>
      <c r="J51">
        <f>INDEX(HATI!E$2:E$71, MATCH($A51, HATI!$A$2:$A$71,0))</f>
        <v>5</v>
      </c>
      <c r="K51">
        <f>INDEX(HATI!F$2:F$71, MATCH($A51, HATI!$A$2:$A$71,0))</f>
        <v>6</v>
      </c>
      <c r="L51">
        <f>INDEX(HATI!G$2:G$71, MATCH($A51, HATI!$A$2:$A$71,0))</f>
        <v>4</v>
      </c>
      <c r="M51" s="19">
        <f>INDEX(HATI!H$2:H$71, MATCH($A51, HATI!$A$2:$A$71,0))</f>
        <v>5</v>
      </c>
      <c r="N51" s="18">
        <f>INDEX(MABA!D$2:D$71, MATCH($A51, MABA!$A$2:$A$71,0))</f>
        <v>0</v>
      </c>
      <c r="O51">
        <f>INDEX(MABA!E$2:E$71, MATCH($A51, MABA!$A$2:$A$71,0))</f>
        <v>6</v>
      </c>
      <c r="P51">
        <f>INDEX(MABA!F$2:F$71, MATCH($A51, MABA!$A$2:$A$71,0))</f>
        <v>6</v>
      </c>
      <c r="Q51">
        <f>INDEX(MABA!G$2:G$71, MATCH($A51, MABA!$A$2:$A$71,0))</f>
        <v>5</v>
      </c>
      <c r="R51" s="19">
        <f>INDEX(MABA!H$2:H$71, MATCH($A51, MABA!$A$2:$A$71,0))</f>
        <v>6</v>
      </c>
      <c r="S51">
        <f t="shared" si="5"/>
        <v>0</v>
      </c>
      <c r="T51" s="20">
        <f t="shared" si="1"/>
        <v>4.666666666666667</v>
      </c>
      <c r="U51" s="20">
        <f t="shared" si="2"/>
        <v>5.666666666666667</v>
      </c>
      <c r="V51" s="20">
        <f t="shared" si="3"/>
        <v>4.333333333333333</v>
      </c>
      <c r="W51" s="20">
        <f t="shared" si="4"/>
        <v>4.666666666666667</v>
      </c>
    </row>
    <row r="52" spans="1:23" x14ac:dyDescent="0.2">
      <c r="A52" s="11" t="s">
        <v>222</v>
      </c>
      <c r="B52" t="s">
        <v>331</v>
      </c>
      <c r="C52">
        <v>1247</v>
      </c>
      <c r="D52" s="18">
        <v>0</v>
      </c>
      <c r="E52">
        <v>3</v>
      </c>
      <c r="F52">
        <v>4</v>
      </c>
      <c r="G52">
        <v>8</v>
      </c>
      <c r="H52" s="19">
        <v>3</v>
      </c>
      <c r="I52">
        <f>INDEX(HATI!D$2:D$71, MATCH($A52, HATI!$A$2:$A$71,0))</f>
        <v>0</v>
      </c>
      <c r="J52">
        <f>INDEX(HATI!E$2:E$71, MATCH($A52, HATI!$A$2:$A$71,0))</f>
        <v>2</v>
      </c>
      <c r="K52">
        <f>INDEX(HATI!F$2:F$71, MATCH($A52, HATI!$A$2:$A$71,0))</f>
        <v>3</v>
      </c>
      <c r="L52">
        <f>INDEX(HATI!G$2:G$71, MATCH($A52, HATI!$A$2:$A$71,0))</f>
        <v>0</v>
      </c>
      <c r="M52" s="19">
        <f>INDEX(HATI!H$2:H$71, MATCH($A52, HATI!$A$2:$A$71,0))</f>
        <v>3</v>
      </c>
      <c r="N52" s="18">
        <f>INDEX(MABA!D$2:D$71, MATCH($A52, MABA!$A$2:$A$71,0))</f>
        <v>0</v>
      </c>
      <c r="O52">
        <f>INDEX(MABA!E$2:E$71, MATCH($A52, MABA!$A$2:$A$71,0))</f>
        <v>5</v>
      </c>
      <c r="P52">
        <f>INDEX(MABA!F$2:F$71, MATCH($A52, MABA!$A$2:$A$71,0))</f>
        <v>5</v>
      </c>
      <c r="Q52">
        <f>INDEX(MABA!G$2:G$71, MATCH($A52, MABA!$A$2:$A$71,0))</f>
        <v>7</v>
      </c>
      <c r="R52" s="19">
        <f>INDEX(MABA!H$2:H$71, MATCH($A52, MABA!$A$2:$A$71,0))</f>
        <v>6</v>
      </c>
      <c r="S52">
        <f t="shared" si="5"/>
        <v>0</v>
      </c>
      <c r="T52" s="20">
        <f t="shared" si="1"/>
        <v>3.3333333333333335</v>
      </c>
      <c r="U52" s="20">
        <f t="shared" si="2"/>
        <v>4</v>
      </c>
      <c r="V52" s="20">
        <f t="shared" si="3"/>
        <v>5</v>
      </c>
      <c r="W52" s="20">
        <f t="shared" si="4"/>
        <v>4</v>
      </c>
    </row>
    <row r="53" spans="1:23" x14ac:dyDescent="0.2">
      <c r="A53" s="11" t="s">
        <v>241</v>
      </c>
      <c r="B53" t="s">
        <v>332</v>
      </c>
      <c r="C53">
        <v>124</v>
      </c>
      <c r="D53" s="18">
        <v>0</v>
      </c>
      <c r="E53">
        <v>3</v>
      </c>
      <c r="F53">
        <v>4</v>
      </c>
      <c r="G53">
        <v>8</v>
      </c>
      <c r="H53" s="19">
        <v>2</v>
      </c>
      <c r="I53">
        <f>INDEX(HATI!D$2:D$71, MATCH($A53, HATI!$A$2:$A$71,0))</f>
        <v>0</v>
      </c>
      <c r="J53">
        <f>INDEX(HATI!E$2:E$71, MATCH($A53, HATI!$A$2:$A$71,0))</f>
        <v>0</v>
      </c>
      <c r="K53">
        <f>INDEX(HATI!F$2:F$71, MATCH($A53, HATI!$A$2:$A$71,0))</f>
        <v>2</v>
      </c>
      <c r="L53">
        <f>INDEX(HATI!G$2:G$71, MATCH($A53, HATI!$A$2:$A$71,0))</f>
        <v>0</v>
      </c>
      <c r="M53" s="19">
        <f>INDEX(HATI!H$2:H$71, MATCH($A53, HATI!$A$2:$A$71,0))</f>
        <v>1</v>
      </c>
      <c r="N53" s="18">
        <f>INDEX(MABA!D$2:D$71, MATCH($A53, MABA!$A$2:$A$71,0))</f>
        <v>0</v>
      </c>
      <c r="O53">
        <f>INDEX(MABA!E$2:E$71, MATCH($A53, MABA!$A$2:$A$71,0))</f>
        <v>1</v>
      </c>
      <c r="P53">
        <f>INDEX(MABA!F$2:F$71, MATCH($A53, MABA!$A$2:$A$71,0))</f>
        <v>3</v>
      </c>
      <c r="Q53">
        <f>INDEX(MABA!G$2:G$71, MATCH($A53, MABA!$A$2:$A$71,0))</f>
        <v>4</v>
      </c>
      <c r="R53" s="19">
        <f>INDEX(MABA!H$2:H$71, MATCH($A53, MABA!$A$2:$A$71,0))</f>
        <v>1</v>
      </c>
      <c r="S53">
        <f t="shared" si="5"/>
        <v>0</v>
      </c>
      <c r="T53" s="20">
        <f t="shared" si="1"/>
        <v>1.3333333333333333</v>
      </c>
      <c r="U53" s="20">
        <f t="shared" si="2"/>
        <v>3</v>
      </c>
      <c r="V53" s="20">
        <f t="shared" si="3"/>
        <v>4</v>
      </c>
      <c r="W53" s="20">
        <f t="shared" si="4"/>
        <v>1.3333333333333333</v>
      </c>
    </row>
    <row r="54" spans="1:23" x14ac:dyDescent="0.2">
      <c r="A54" s="11" t="s">
        <v>237</v>
      </c>
      <c r="B54" t="s">
        <v>332</v>
      </c>
      <c r="C54">
        <v>357</v>
      </c>
      <c r="D54" s="18">
        <v>0</v>
      </c>
      <c r="E54">
        <v>3</v>
      </c>
      <c r="F54">
        <v>3</v>
      </c>
      <c r="G54">
        <v>6</v>
      </c>
      <c r="H54" s="19">
        <v>2</v>
      </c>
      <c r="I54">
        <f>INDEX(HATI!D$2:D$71, MATCH($A54, HATI!$A$2:$A$71,0))</f>
        <v>0</v>
      </c>
      <c r="J54">
        <f>INDEX(HATI!E$2:E$71, MATCH($A54, HATI!$A$2:$A$71,0))</f>
        <v>0</v>
      </c>
      <c r="K54">
        <f>INDEX(HATI!F$2:F$71, MATCH($A54, HATI!$A$2:$A$71,0))</f>
        <v>1</v>
      </c>
      <c r="L54">
        <f>INDEX(HATI!G$2:G$71, MATCH($A54, HATI!$A$2:$A$71,0))</f>
        <v>0</v>
      </c>
      <c r="M54" s="19">
        <f>INDEX(HATI!H$2:H$71, MATCH($A54, HATI!$A$2:$A$71,0))</f>
        <v>1</v>
      </c>
      <c r="N54" s="18">
        <f>INDEX(MABA!D$2:D$71, MATCH($A54, MABA!$A$2:$A$71,0))</f>
        <v>0</v>
      </c>
      <c r="O54">
        <f>INDEX(MABA!E$2:E$71, MATCH($A54, MABA!$A$2:$A$71,0))</f>
        <v>1</v>
      </c>
      <c r="P54">
        <f>INDEX(MABA!F$2:F$71, MATCH($A54, MABA!$A$2:$A$71,0))</f>
        <v>3</v>
      </c>
      <c r="Q54">
        <f>INDEX(MABA!G$2:G$71, MATCH($A54, MABA!$A$2:$A$71,0))</f>
        <v>4</v>
      </c>
      <c r="R54" s="19">
        <f>INDEX(MABA!H$2:H$71, MATCH($A54, MABA!$A$2:$A$71,0))</f>
        <v>2</v>
      </c>
      <c r="S54">
        <f t="shared" si="5"/>
        <v>0</v>
      </c>
      <c r="T54" s="20">
        <f t="shared" si="1"/>
        <v>1.3333333333333333</v>
      </c>
      <c r="U54" s="20">
        <f t="shared" si="2"/>
        <v>2.3333333333333335</v>
      </c>
      <c r="V54" s="20">
        <f t="shared" si="3"/>
        <v>3.3333333333333335</v>
      </c>
      <c r="W54" s="20">
        <f t="shared" si="4"/>
        <v>1.6666666666666667</v>
      </c>
    </row>
    <row r="55" spans="1:23" x14ac:dyDescent="0.2">
      <c r="A55" s="11" t="s">
        <v>245</v>
      </c>
      <c r="B55" t="s">
        <v>332</v>
      </c>
      <c r="C55">
        <v>682</v>
      </c>
      <c r="D55" s="18">
        <v>0</v>
      </c>
      <c r="E55">
        <v>0</v>
      </c>
      <c r="F55">
        <v>1</v>
      </c>
      <c r="G55">
        <v>5</v>
      </c>
      <c r="H55" s="19">
        <v>1</v>
      </c>
      <c r="I55">
        <f>INDEX(HATI!D$2:D$71, MATCH($A55, HATI!$A$2:$A$71,0))</f>
        <v>0</v>
      </c>
      <c r="J55">
        <f>INDEX(HATI!E$2:E$71, MATCH($A55, HATI!$A$2:$A$71,0))</f>
        <v>0</v>
      </c>
      <c r="K55">
        <f>INDEX(HATI!F$2:F$71, MATCH($A55, HATI!$A$2:$A$71,0))</f>
        <v>1</v>
      </c>
      <c r="L55">
        <f>INDEX(HATI!G$2:G$71, MATCH($A55, HATI!$A$2:$A$71,0))</f>
        <v>0</v>
      </c>
      <c r="M55" s="19">
        <f>INDEX(HATI!H$2:H$71, MATCH($A55, HATI!$A$2:$A$71,0))</f>
        <v>1</v>
      </c>
      <c r="N55" s="18">
        <f>INDEX(MABA!D$2:D$71, MATCH($A55, MABA!$A$2:$A$71,0))</f>
        <v>0</v>
      </c>
      <c r="O55">
        <f>INDEX(MABA!E$2:E$71, MATCH($A55, MABA!$A$2:$A$71,0))</f>
        <v>0</v>
      </c>
      <c r="P55">
        <f>INDEX(MABA!F$2:F$71, MATCH($A55, MABA!$A$2:$A$71,0))</f>
        <v>1</v>
      </c>
      <c r="Q55">
        <f>INDEX(MABA!G$2:G$71, MATCH($A55, MABA!$A$2:$A$71,0))</f>
        <v>4</v>
      </c>
      <c r="R55" s="19">
        <f>INDEX(MABA!H$2:H$71, MATCH($A55, MABA!$A$2:$A$71,0))</f>
        <v>0</v>
      </c>
      <c r="S55">
        <f t="shared" si="5"/>
        <v>0</v>
      </c>
      <c r="T55" s="20">
        <f t="shared" si="1"/>
        <v>0</v>
      </c>
      <c r="U55" s="20">
        <f t="shared" si="2"/>
        <v>1</v>
      </c>
      <c r="V55" s="20">
        <f t="shared" si="3"/>
        <v>3</v>
      </c>
      <c r="W55" s="20">
        <f t="shared" si="4"/>
        <v>0.66666666666666663</v>
      </c>
    </row>
    <row r="56" spans="1:23" x14ac:dyDescent="0.2">
      <c r="A56" s="11" t="s">
        <v>249</v>
      </c>
      <c r="B56" t="s">
        <v>332</v>
      </c>
      <c r="C56">
        <v>901</v>
      </c>
      <c r="D56" s="18">
        <v>0</v>
      </c>
      <c r="E56">
        <v>0</v>
      </c>
      <c r="F56">
        <v>0</v>
      </c>
      <c r="G56">
        <v>1</v>
      </c>
      <c r="H56" s="19">
        <v>1</v>
      </c>
      <c r="I56">
        <f>INDEX(HATI!D$2:D$71, MATCH($A56, HATI!$A$2:$A$71,0))</f>
        <v>0</v>
      </c>
      <c r="J56">
        <f>INDEX(HATI!E$2:E$71, MATCH($A56, HATI!$A$2:$A$71,0))</f>
        <v>0</v>
      </c>
      <c r="K56">
        <f>INDEX(HATI!F$2:F$71, MATCH($A56, HATI!$A$2:$A$71,0))</f>
        <v>0</v>
      </c>
      <c r="L56">
        <f>INDEX(HATI!G$2:G$71, MATCH($A56, HATI!$A$2:$A$71,0))</f>
        <v>0</v>
      </c>
      <c r="M56" s="19">
        <f>INDEX(HATI!H$2:H$71, MATCH($A56, HATI!$A$2:$A$71,0))</f>
        <v>0</v>
      </c>
      <c r="N56" s="18">
        <f>INDEX(MABA!D$2:D$71, MATCH($A56, MABA!$A$2:$A$71,0))</f>
        <v>0</v>
      </c>
      <c r="O56">
        <f>INDEX(MABA!E$2:E$71, MATCH($A56, MABA!$A$2:$A$71,0))</f>
        <v>0</v>
      </c>
      <c r="P56">
        <f>INDEX(MABA!F$2:F$71, MATCH($A56, MABA!$A$2:$A$71,0))</f>
        <v>0</v>
      </c>
      <c r="Q56">
        <f>INDEX(MABA!G$2:G$71, MATCH($A56, MABA!$A$2:$A$71,0))</f>
        <v>0</v>
      </c>
      <c r="R56" s="19">
        <f>INDEX(MABA!H$2:H$71, MATCH($A56, MABA!$A$2:$A$71,0))</f>
        <v>0</v>
      </c>
      <c r="S56">
        <f t="shared" si="5"/>
        <v>0</v>
      </c>
      <c r="T56" s="20">
        <f t="shared" si="1"/>
        <v>0</v>
      </c>
      <c r="U56" s="20">
        <f t="shared" si="2"/>
        <v>0</v>
      </c>
      <c r="V56" s="20">
        <f t="shared" si="3"/>
        <v>0.33333333333333331</v>
      </c>
      <c r="W56" s="20">
        <f t="shared" si="4"/>
        <v>0.33333333333333331</v>
      </c>
    </row>
    <row r="57" spans="1:23" x14ac:dyDescent="0.2">
      <c r="A57" s="11" t="s">
        <v>252</v>
      </c>
      <c r="B57" t="s">
        <v>332</v>
      </c>
      <c r="C57">
        <v>1247</v>
      </c>
      <c r="D57" s="18">
        <v>0</v>
      </c>
      <c r="E57">
        <v>0</v>
      </c>
      <c r="F57">
        <v>0</v>
      </c>
      <c r="G57">
        <v>0</v>
      </c>
      <c r="H57" s="19">
        <v>1</v>
      </c>
      <c r="I57">
        <f>INDEX(HATI!D$2:D$71, MATCH($A57, HATI!$A$2:$A$71,0))</f>
        <v>0</v>
      </c>
      <c r="J57">
        <f>INDEX(HATI!E$2:E$71, MATCH($A57, HATI!$A$2:$A$71,0))</f>
        <v>0</v>
      </c>
      <c r="K57">
        <f>INDEX(HATI!F$2:F$71, MATCH($A57, HATI!$A$2:$A$71,0))</f>
        <v>0</v>
      </c>
      <c r="L57">
        <f>INDEX(HATI!G$2:G$71, MATCH($A57, HATI!$A$2:$A$71,0))</f>
        <v>0</v>
      </c>
      <c r="M57" s="19">
        <f>INDEX(HATI!H$2:H$71, MATCH($A57, HATI!$A$2:$A$71,0))</f>
        <v>0</v>
      </c>
      <c r="N57" s="18">
        <f>INDEX(MABA!D$2:D$71, MATCH($A57, MABA!$A$2:$A$71,0))</f>
        <v>0</v>
      </c>
      <c r="O57">
        <f>INDEX(MABA!E$2:E$71, MATCH($A57, MABA!$A$2:$A$71,0))</f>
        <v>0</v>
      </c>
      <c r="P57">
        <f>INDEX(MABA!F$2:F$71, MATCH($A57, MABA!$A$2:$A$71,0))</f>
        <v>0</v>
      </c>
      <c r="Q57">
        <f>INDEX(MABA!G$2:G$71, MATCH($A57, MABA!$A$2:$A$71,0))</f>
        <v>0</v>
      </c>
      <c r="R57" s="19">
        <f>INDEX(MABA!H$2:H$71, MATCH($A57, MABA!$A$2:$A$71,0))</f>
        <v>0</v>
      </c>
      <c r="S57">
        <f t="shared" si="5"/>
        <v>0</v>
      </c>
      <c r="T57" s="20">
        <f t="shared" si="1"/>
        <v>0</v>
      </c>
      <c r="U57" s="20">
        <f t="shared" si="2"/>
        <v>0</v>
      </c>
      <c r="V57" s="20">
        <f t="shared" si="3"/>
        <v>0</v>
      </c>
      <c r="W57" s="20">
        <f t="shared" si="4"/>
        <v>0.33333333333333331</v>
      </c>
    </row>
    <row r="58" spans="1:23" x14ac:dyDescent="0.2">
      <c r="A58" s="11" t="s">
        <v>259</v>
      </c>
      <c r="B58" t="s">
        <v>333</v>
      </c>
      <c r="C58">
        <v>124</v>
      </c>
      <c r="D58" s="18">
        <v>0</v>
      </c>
      <c r="E58">
        <v>5</v>
      </c>
      <c r="F58">
        <v>8</v>
      </c>
      <c r="G58">
        <v>5</v>
      </c>
      <c r="H58" s="19">
        <v>5</v>
      </c>
      <c r="I58">
        <f>INDEX(HATI!D$2:D$71, MATCH($A58, HATI!$A$2:$A$71,0))</f>
        <v>0</v>
      </c>
      <c r="J58">
        <f>INDEX(HATI!E$2:E$71, MATCH($A58, HATI!$A$2:$A$71,0))</f>
        <v>3</v>
      </c>
      <c r="K58">
        <f>INDEX(HATI!F$2:F$71, MATCH($A58, HATI!$A$2:$A$71,0))</f>
        <v>3</v>
      </c>
      <c r="L58">
        <f>INDEX(HATI!G$2:G$71, MATCH($A58, HATI!$A$2:$A$71,0))</f>
        <v>1</v>
      </c>
      <c r="M58" s="19">
        <f>INDEX(HATI!H$2:H$71, MATCH($A58, HATI!$A$2:$A$71,0))</f>
        <v>3</v>
      </c>
      <c r="N58" s="18">
        <f>INDEX(MABA!D$2:D$71, MATCH($A58, MABA!$A$2:$A$71,0))</f>
        <v>0</v>
      </c>
      <c r="O58">
        <f>INDEX(MABA!E$2:E$71, MATCH($A58, MABA!$A$2:$A$71,0))</f>
        <v>5</v>
      </c>
      <c r="P58">
        <f>INDEX(MABA!F$2:F$71, MATCH($A58, MABA!$A$2:$A$71,0))</f>
        <v>6</v>
      </c>
      <c r="Q58">
        <f>INDEX(MABA!G$2:G$71, MATCH($A58, MABA!$A$2:$A$71,0))</f>
        <v>7</v>
      </c>
      <c r="R58" s="19">
        <f>INDEX(MABA!H$2:H$71, MATCH($A58, MABA!$A$2:$A$71,0))</f>
        <v>6</v>
      </c>
      <c r="S58">
        <f t="shared" si="5"/>
        <v>0</v>
      </c>
      <c r="T58" s="20">
        <f t="shared" si="1"/>
        <v>4.333333333333333</v>
      </c>
      <c r="U58" s="20">
        <f t="shared" si="2"/>
        <v>5.666666666666667</v>
      </c>
      <c r="V58" s="20">
        <f t="shared" si="3"/>
        <v>4.333333333333333</v>
      </c>
      <c r="W58" s="20">
        <f t="shared" si="4"/>
        <v>4.666666666666667</v>
      </c>
    </row>
    <row r="59" spans="1:23" x14ac:dyDescent="0.2">
      <c r="A59" s="11" t="s">
        <v>262</v>
      </c>
      <c r="B59" t="s">
        <v>333</v>
      </c>
      <c r="C59">
        <v>357</v>
      </c>
      <c r="D59" s="18">
        <v>0</v>
      </c>
      <c r="E59">
        <v>4</v>
      </c>
      <c r="F59">
        <v>8</v>
      </c>
      <c r="G59">
        <v>8</v>
      </c>
      <c r="H59" s="19">
        <v>5</v>
      </c>
      <c r="I59">
        <f>INDEX(HATI!D$2:D$71, MATCH($A59, HATI!$A$2:$A$71,0))</f>
        <v>0</v>
      </c>
      <c r="J59">
        <f>INDEX(HATI!E$2:E$71, MATCH($A59, HATI!$A$2:$A$71,0))</f>
        <v>6</v>
      </c>
      <c r="K59">
        <f>INDEX(HATI!F$2:F$71, MATCH($A59, HATI!$A$2:$A$71,0))</f>
        <v>5</v>
      </c>
      <c r="L59">
        <f>INDEX(HATI!G$2:G$71, MATCH($A59, HATI!$A$2:$A$71,0))</f>
        <v>7</v>
      </c>
      <c r="M59" s="19">
        <f>INDEX(HATI!H$2:H$71, MATCH($A59, HATI!$A$2:$A$71,0))</f>
        <v>6</v>
      </c>
      <c r="N59" s="18">
        <f>INDEX(MABA!D$2:D$71, MATCH($A59, MABA!$A$2:$A$71,0))</f>
        <v>0</v>
      </c>
      <c r="O59">
        <f>INDEX(MABA!E$2:E$71, MATCH($A59, MABA!$A$2:$A$71,0))</f>
        <v>7</v>
      </c>
      <c r="P59">
        <f>INDEX(MABA!F$2:F$71, MATCH($A59, MABA!$A$2:$A$71,0))</f>
        <v>8</v>
      </c>
      <c r="Q59">
        <f>INDEX(MABA!G$2:G$71, MATCH($A59, MABA!$A$2:$A$71,0))</f>
        <v>8</v>
      </c>
      <c r="R59" s="19">
        <f>INDEX(MABA!H$2:H$71, MATCH($A59, MABA!$A$2:$A$71,0))</f>
        <v>8</v>
      </c>
      <c r="S59">
        <f t="shared" si="5"/>
        <v>0</v>
      </c>
      <c r="T59" s="20">
        <f t="shared" si="1"/>
        <v>5.666666666666667</v>
      </c>
      <c r="U59" s="20">
        <f t="shared" si="2"/>
        <v>7</v>
      </c>
      <c r="V59" s="20">
        <f t="shared" si="3"/>
        <v>7.666666666666667</v>
      </c>
      <c r="W59" s="20">
        <f t="shared" si="4"/>
        <v>6.333333333333333</v>
      </c>
    </row>
    <row r="60" spans="1:23" x14ac:dyDescent="0.2">
      <c r="A60" s="11" t="s">
        <v>267</v>
      </c>
      <c r="B60" t="s">
        <v>333</v>
      </c>
      <c r="C60">
        <v>682</v>
      </c>
      <c r="D60" s="18">
        <v>0</v>
      </c>
      <c r="E60">
        <v>5</v>
      </c>
      <c r="F60">
        <v>8</v>
      </c>
      <c r="G60">
        <v>8</v>
      </c>
      <c r="H60" s="19">
        <v>6</v>
      </c>
      <c r="I60">
        <f>INDEX(HATI!D$2:D$71, MATCH($A60, HATI!$A$2:$A$71,0))</f>
        <v>0</v>
      </c>
      <c r="J60">
        <f>INDEX(HATI!E$2:E$71, MATCH($A60, HATI!$A$2:$A$71,0))</f>
        <v>6</v>
      </c>
      <c r="K60">
        <f>INDEX(HATI!F$2:F$71, MATCH($A60, HATI!$A$2:$A$71,0))</f>
        <v>5</v>
      </c>
      <c r="L60">
        <f>INDEX(HATI!G$2:G$71, MATCH($A60, HATI!$A$2:$A$71,0))</f>
        <v>7</v>
      </c>
      <c r="M60" s="19">
        <f>INDEX(HATI!H$2:H$71, MATCH($A60, HATI!$A$2:$A$71,0))</f>
        <v>6</v>
      </c>
      <c r="N60" s="18">
        <f>INDEX(MABA!D$2:D$71, MATCH($A60, MABA!$A$2:$A$71,0))</f>
        <v>0</v>
      </c>
      <c r="O60">
        <f>INDEX(MABA!E$2:E$71, MATCH($A60, MABA!$A$2:$A$71,0))</f>
        <v>10</v>
      </c>
      <c r="P60">
        <f>INDEX(MABA!F$2:F$71, MATCH($A60, MABA!$A$2:$A$71,0))</f>
        <v>10</v>
      </c>
      <c r="Q60">
        <f>INDEX(MABA!G$2:G$71, MATCH($A60, MABA!$A$2:$A$71,0))</f>
        <v>9</v>
      </c>
      <c r="R60" s="19">
        <f>INDEX(MABA!H$2:H$71, MATCH($A60, MABA!$A$2:$A$71,0))</f>
        <v>8</v>
      </c>
      <c r="S60">
        <f t="shared" si="5"/>
        <v>0</v>
      </c>
      <c r="T60" s="20">
        <f t="shared" si="1"/>
        <v>7</v>
      </c>
      <c r="U60" s="20">
        <f t="shared" si="2"/>
        <v>7.666666666666667</v>
      </c>
      <c r="V60" s="20">
        <f t="shared" si="3"/>
        <v>8</v>
      </c>
      <c r="W60" s="20">
        <f t="shared" si="4"/>
        <v>6.666666666666667</v>
      </c>
    </row>
    <row r="61" spans="1:23" x14ac:dyDescent="0.2">
      <c r="A61" s="11" t="s">
        <v>270</v>
      </c>
      <c r="B61" t="s">
        <v>333</v>
      </c>
      <c r="C61">
        <v>901</v>
      </c>
      <c r="D61" s="18">
        <v>0</v>
      </c>
      <c r="E61">
        <v>0</v>
      </c>
      <c r="F61">
        <v>1</v>
      </c>
      <c r="G61">
        <v>0</v>
      </c>
      <c r="H61" s="19">
        <v>2</v>
      </c>
      <c r="I61">
        <f>INDEX(HATI!D$2:D$71, MATCH($A61, HATI!$A$2:$A$71,0))</f>
        <v>0</v>
      </c>
      <c r="J61">
        <f>INDEX(HATI!E$2:E$71, MATCH($A61, HATI!$A$2:$A$71,0))</f>
        <v>0</v>
      </c>
      <c r="K61">
        <f>INDEX(HATI!F$2:F$71, MATCH($A61, HATI!$A$2:$A$71,0))</f>
        <v>1</v>
      </c>
      <c r="L61">
        <f>INDEX(HATI!G$2:G$71, MATCH($A61, HATI!$A$2:$A$71,0))</f>
        <v>0</v>
      </c>
      <c r="M61" s="19">
        <f>INDEX(HATI!H$2:H$71, MATCH($A61, HATI!$A$2:$A$71,0))</f>
        <v>1</v>
      </c>
      <c r="N61" s="18">
        <f>INDEX(MABA!D$2:D$71, MATCH($A61, MABA!$A$2:$A$71,0))</f>
        <v>0</v>
      </c>
      <c r="O61">
        <f>INDEX(MABA!E$2:E$71, MATCH($A61, MABA!$A$2:$A$71,0))</f>
        <v>7</v>
      </c>
      <c r="P61">
        <f>INDEX(MABA!F$2:F$71, MATCH($A61, MABA!$A$2:$A$71,0))</f>
        <v>8</v>
      </c>
      <c r="Q61">
        <f>INDEX(MABA!G$2:G$71, MATCH($A61, MABA!$A$2:$A$71,0))</f>
        <v>4</v>
      </c>
      <c r="R61" s="19">
        <f>INDEX(MABA!H$2:H$71, MATCH($A61, MABA!$A$2:$A$71,0))</f>
        <v>5</v>
      </c>
      <c r="S61">
        <f t="shared" si="5"/>
        <v>0</v>
      </c>
      <c r="T61" s="20">
        <f t="shared" si="1"/>
        <v>2.3333333333333335</v>
      </c>
      <c r="U61" s="20">
        <f t="shared" si="2"/>
        <v>3.3333333333333335</v>
      </c>
      <c r="V61" s="20">
        <f t="shared" si="3"/>
        <v>1.3333333333333333</v>
      </c>
      <c r="W61" s="20">
        <f t="shared" si="4"/>
        <v>2.6666666666666665</v>
      </c>
    </row>
    <row r="62" spans="1:23" x14ac:dyDescent="0.2">
      <c r="A62" s="11" t="s">
        <v>275</v>
      </c>
      <c r="B62" t="s">
        <v>333</v>
      </c>
      <c r="C62">
        <v>1247</v>
      </c>
      <c r="D62" s="18">
        <v>0</v>
      </c>
      <c r="E62">
        <v>6</v>
      </c>
      <c r="F62">
        <v>8</v>
      </c>
      <c r="G62">
        <v>8</v>
      </c>
      <c r="H62" s="19">
        <v>6</v>
      </c>
      <c r="I62">
        <f>INDEX(HATI!D$2:D$71, MATCH($A62, HATI!$A$2:$A$71,0))</f>
        <v>0</v>
      </c>
      <c r="J62">
        <f>INDEX(HATI!E$2:E$71, MATCH($A62, HATI!$A$2:$A$71,0))</f>
        <v>4</v>
      </c>
      <c r="K62">
        <f>INDEX(HATI!F$2:F$71, MATCH($A62, HATI!$A$2:$A$71,0))</f>
        <v>4</v>
      </c>
      <c r="L62">
        <f>INDEX(HATI!G$2:G$71, MATCH($A62, HATI!$A$2:$A$71,0))</f>
        <v>5</v>
      </c>
      <c r="M62" s="19">
        <f>INDEX(HATI!H$2:H$71, MATCH($A62, HATI!$A$2:$A$71,0))</f>
        <v>4</v>
      </c>
      <c r="N62" s="18">
        <f>INDEX(MABA!D$2:D$71, MATCH($A62, MABA!$A$2:$A$71,0))</f>
        <v>0</v>
      </c>
      <c r="O62">
        <f>INDEX(MABA!E$2:E$71, MATCH($A62, MABA!$A$2:$A$71,0))</f>
        <v>8</v>
      </c>
      <c r="P62">
        <f>INDEX(MABA!F$2:F$71, MATCH($A62, MABA!$A$2:$A$71,0))</f>
        <v>10</v>
      </c>
      <c r="Q62">
        <f>INDEX(MABA!G$2:G$71, MATCH($A62, MABA!$A$2:$A$71,0))</f>
        <v>9</v>
      </c>
      <c r="R62" s="19">
        <f>INDEX(MABA!H$2:H$71, MATCH($A62, MABA!$A$2:$A$71,0))</f>
        <v>8</v>
      </c>
      <c r="S62">
        <f t="shared" si="5"/>
        <v>0</v>
      </c>
      <c r="T62" s="20">
        <f t="shared" si="1"/>
        <v>6</v>
      </c>
      <c r="U62" s="20">
        <f t="shared" si="2"/>
        <v>7.333333333333333</v>
      </c>
      <c r="V62" s="20">
        <f t="shared" si="3"/>
        <v>7.333333333333333</v>
      </c>
      <c r="W62" s="20">
        <f t="shared" si="4"/>
        <v>6</v>
      </c>
    </row>
    <row r="63" spans="1:23" x14ac:dyDescent="0.2">
      <c r="A63" s="11" t="s">
        <v>309</v>
      </c>
      <c r="B63" t="s">
        <v>335</v>
      </c>
      <c r="C63">
        <v>124</v>
      </c>
      <c r="D63" s="18">
        <v>0</v>
      </c>
      <c r="E63">
        <v>5</v>
      </c>
      <c r="F63">
        <v>8</v>
      </c>
      <c r="G63">
        <v>8</v>
      </c>
      <c r="H63" s="19">
        <v>6</v>
      </c>
      <c r="I63">
        <f>INDEX(HATI!D$2:D$71, MATCH($A63, HATI!$A$2:$A$71,0))</f>
        <v>0</v>
      </c>
      <c r="J63">
        <f>INDEX(HATI!E$2:E$71, MATCH($A63, HATI!$A$2:$A$71,0))</f>
        <v>4</v>
      </c>
      <c r="K63">
        <f>INDEX(HATI!F$2:F$71, MATCH($A63, HATI!$A$2:$A$71,0))</f>
        <v>5</v>
      </c>
      <c r="L63">
        <f>INDEX(HATI!G$2:G$71, MATCH($A63, HATI!$A$2:$A$71,0))</f>
        <v>6</v>
      </c>
      <c r="M63" s="19">
        <f>INDEX(HATI!H$2:H$71, MATCH($A63, HATI!$A$2:$A$71,0))</f>
        <v>5</v>
      </c>
      <c r="N63" s="18">
        <f>INDEX(MABA!D$2:D$71, MATCH($A63, MABA!$A$2:$A$71,0))</f>
        <v>0</v>
      </c>
      <c r="O63">
        <f>INDEX(MABA!E$2:E$71, MATCH($A63, MABA!$A$2:$A$71,0))</f>
        <v>3</v>
      </c>
      <c r="P63">
        <f>INDEX(MABA!F$2:F$71, MATCH($A63, MABA!$A$2:$A$71,0))</f>
        <v>5</v>
      </c>
      <c r="Q63">
        <f>INDEX(MABA!G$2:G$71, MATCH($A63, MABA!$A$2:$A$71,0))</f>
        <v>7</v>
      </c>
      <c r="R63" s="19">
        <f>INDEX(MABA!H$2:H$71, MATCH($A63, MABA!$A$2:$A$71,0))</f>
        <v>4</v>
      </c>
      <c r="S63">
        <f t="shared" si="5"/>
        <v>0</v>
      </c>
      <c r="T63" s="20">
        <f t="shared" si="1"/>
        <v>4</v>
      </c>
      <c r="U63" s="20">
        <f t="shared" si="2"/>
        <v>6</v>
      </c>
      <c r="V63" s="20">
        <f t="shared" si="3"/>
        <v>7</v>
      </c>
      <c r="W63" s="20">
        <f t="shared" si="4"/>
        <v>5</v>
      </c>
    </row>
    <row r="64" spans="1:23" x14ac:dyDescent="0.2">
      <c r="A64" s="11" t="s">
        <v>313</v>
      </c>
      <c r="B64" t="s">
        <v>335</v>
      </c>
      <c r="C64">
        <v>357</v>
      </c>
      <c r="D64" s="18">
        <v>0</v>
      </c>
      <c r="E64">
        <v>5</v>
      </c>
      <c r="F64">
        <v>5</v>
      </c>
      <c r="G64">
        <v>8</v>
      </c>
      <c r="H64" s="19">
        <v>5</v>
      </c>
      <c r="I64">
        <f>INDEX(HATI!D$2:D$71, MATCH($A64, HATI!$A$2:$A$71,0))</f>
        <v>0</v>
      </c>
      <c r="J64">
        <f>INDEX(HATI!E$2:E$71, MATCH($A64, HATI!$A$2:$A$71,0))</f>
        <v>3</v>
      </c>
      <c r="K64">
        <f>INDEX(HATI!F$2:F$71, MATCH($A64, HATI!$A$2:$A$71,0))</f>
        <v>4</v>
      </c>
      <c r="L64">
        <f>INDEX(HATI!G$2:G$71, MATCH($A64, HATI!$A$2:$A$71,0))</f>
        <v>2</v>
      </c>
      <c r="M64" s="19">
        <f>INDEX(HATI!H$2:H$71, MATCH($A64, HATI!$A$2:$A$71,0))</f>
        <v>3</v>
      </c>
      <c r="N64" s="18">
        <f>INDEX(MABA!D$2:D$71, MATCH($A64, MABA!$A$2:$A$71,0))</f>
        <v>0</v>
      </c>
      <c r="O64">
        <f>INDEX(MABA!E$2:E$71, MATCH($A64, MABA!$A$2:$A$71,0))</f>
        <v>4</v>
      </c>
      <c r="P64">
        <f>INDEX(MABA!F$2:F$71, MATCH($A64, MABA!$A$2:$A$71,0))</f>
        <v>5</v>
      </c>
      <c r="Q64">
        <f>INDEX(MABA!G$2:G$71, MATCH($A64, MABA!$A$2:$A$71,0))</f>
        <v>7</v>
      </c>
      <c r="R64" s="19">
        <f>INDEX(MABA!H$2:H$71, MATCH($A64, MABA!$A$2:$A$71,0))</f>
        <v>4</v>
      </c>
      <c r="S64">
        <f t="shared" si="5"/>
        <v>0</v>
      </c>
      <c r="T64" s="20">
        <f t="shared" si="1"/>
        <v>4</v>
      </c>
      <c r="U64" s="20">
        <f t="shared" si="2"/>
        <v>4.666666666666667</v>
      </c>
      <c r="V64" s="20">
        <f t="shared" si="3"/>
        <v>5.666666666666667</v>
      </c>
      <c r="W64" s="20">
        <f t="shared" si="4"/>
        <v>4</v>
      </c>
    </row>
    <row r="65" spans="1:23" x14ac:dyDescent="0.2">
      <c r="A65" s="11" t="s">
        <v>298</v>
      </c>
      <c r="B65" t="s">
        <v>335</v>
      </c>
      <c r="C65">
        <v>682</v>
      </c>
      <c r="D65" s="18">
        <v>1</v>
      </c>
      <c r="E65">
        <v>10</v>
      </c>
      <c r="F65">
        <v>10</v>
      </c>
      <c r="G65">
        <v>10</v>
      </c>
      <c r="H65" s="19">
        <v>10</v>
      </c>
      <c r="I65">
        <f>INDEX(HATI!D$2:D$71, MATCH($A65, HATI!$A$2:$A$71,0))</f>
        <v>1</v>
      </c>
      <c r="J65">
        <f>INDEX(HATI!E$2:E$71, MATCH($A65, HATI!$A$2:$A$71,0))</f>
        <v>7</v>
      </c>
      <c r="K65">
        <f>INDEX(HATI!F$2:F$71, MATCH($A65, HATI!$A$2:$A$71,0))</f>
        <v>9</v>
      </c>
      <c r="L65">
        <f>INDEX(HATI!G$2:G$71, MATCH($A65, HATI!$A$2:$A$71,0))</f>
        <v>9</v>
      </c>
      <c r="M65" s="19">
        <f>INDEX(HATI!H$2:H$71, MATCH($A65, HATI!$A$2:$A$71,0))</f>
        <v>8</v>
      </c>
      <c r="N65" s="18">
        <f>INDEX(MABA!D$2:D$71, MATCH($A65, MABA!$A$2:$A$71,0))</f>
        <v>1</v>
      </c>
      <c r="O65">
        <f>INDEX(MABA!E$2:E$71, MATCH($A65, MABA!$A$2:$A$71,0))</f>
        <v>8</v>
      </c>
      <c r="P65">
        <f>INDEX(MABA!F$2:F$71, MATCH($A65, MABA!$A$2:$A$71,0))</f>
        <v>9</v>
      </c>
      <c r="Q65">
        <f>INDEX(MABA!G$2:G$71, MATCH($A65, MABA!$A$2:$A$71,0))</f>
        <v>10</v>
      </c>
      <c r="R65" s="19">
        <f>INDEX(MABA!H$2:H$71, MATCH($A65, MABA!$A$2:$A$71,0))</f>
        <v>9</v>
      </c>
      <c r="S65">
        <f t="shared" si="5"/>
        <v>1</v>
      </c>
      <c r="T65" s="20">
        <f t="shared" si="1"/>
        <v>8.3333333333333339</v>
      </c>
      <c r="U65" s="20">
        <f t="shared" si="2"/>
        <v>9.3333333333333339</v>
      </c>
      <c r="V65" s="20">
        <f t="shared" si="3"/>
        <v>9.6666666666666661</v>
      </c>
      <c r="W65" s="20">
        <f t="shared" si="4"/>
        <v>9</v>
      </c>
    </row>
    <row r="66" spans="1:23" x14ac:dyDescent="0.2">
      <c r="A66" s="11" t="s">
        <v>302</v>
      </c>
      <c r="B66" t="s">
        <v>335</v>
      </c>
      <c r="C66">
        <v>901</v>
      </c>
      <c r="D66" s="18">
        <v>1</v>
      </c>
      <c r="E66">
        <v>8</v>
      </c>
      <c r="F66">
        <v>3</v>
      </c>
      <c r="G66">
        <v>8</v>
      </c>
      <c r="H66" s="19">
        <v>4</v>
      </c>
      <c r="I66">
        <f>INDEX(HATI!D$2:D$71, MATCH($A66, HATI!$A$2:$A$71,0))</f>
        <v>1</v>
      </c>
      <c r="J66">
        <f>INDEX(HATI!E$2:E$71, MATCH($A66, HATI!$A$2:$A$71,0))</f>
        <v>4</v>
      </c>
      <c r="K66">
        <f>INDEX(HATI!F$2:F$71, MATCH($A66, HATI!$A$2:$A$71,0))</f>
        <v>7</v>
      </c>
      <c r="L66">
        <f>INDEX(HATI!G$2:G$71, MATCH($A66, HATI!$A$2:$A$71,0))</f>
        <v>6</v>
      </c>
      <c r="M66" s="19">
        <f>INDEX(HATI!H$2:H$71, MATCH($A66, HATI!$A$2:$A$71,0))</f>
        <v>7</v>
      </c>
      <c r="N66" s="18">
        <f>INDEX(MABA!D$2:D$71, MATCH($A66, MABA!$A$2:$A$71,0))</f>
        <v>1</v>
      </c>
      <c r="O66">
        <f>INDEX(MABA!E$2:E$71, MATCH($A66, MABA!$A$2:$A$71,0))</f>
        <v>5</v>
      </c>
      <c r="P66">
        <f>INDEX(MABA!F$2:F$71, MATCH($A66, MABA!$A$2:$A$71,0))</f>
        <v>6</v>
      </c>
      <c r="Q66">
        <f>INDEX(MABA!G$2:G$71, MATCH($A66, MABA!$A$2:$A$71,0))</f>
        <v>8</v>
      </c>
      <c r="R66" s="19">
        <f>INDEX(MABA!H$2:H$71, MATCH($A66, MABA!$A$2:$A$71,0))</f>
        <v>6</v>
      </c>
      <c r="S66">
        <f t="shared" si="5"/>
        <v>1</v>
      </c>
      <c r="T66" s="20">
        <f t="shared" si="1"/>
        <v>5.666666666666667</v>
      </c>
      <c r="U66" s="20">
        <f t="shared" si="2"/>
        <v>5.333333333333333</v>
      </c>
      <c r="V66" s="20">
        <f t="shared" si="3"/>
        <v>7.333333333333333</v>
      </c>
      <c r="W66" s="20">
        <f t="shared" si="4"/>
        <v>5.666666666666667</v>
      </c>
    </row>
    <row r="67" spans="1:23" x14ac:dyDescent="0.2">
      <c r="A67" s="11" t="s">
        <v>306</v>
      </c>
      <c r="B67" t="s">
        <v>335</v>
      </c>
      <c r="C67">
        <v>1247</v>
      </c>
      <c r="D67" s="18">
        <v>0</v>
      </c>
      <c r="E67">
        <v>5</v>
      </c>
      <c r="F67">
        <v>6</v>
      </c>
      <c r="G67">
        <v>8</v>
      </c>
      <c r="H67" s="19">
        <v>4</v>
      </c>
      <c r="I67">
        <f>INDEX(HATI!D$2:D$71, MATCH($A67, HATI!$A$2:$A$71,0))</f>
        <v>0</v>
      </c>
      <c r="J67">
        <f>INDEX(HATI!E$2:E$71, MATCH($A67, HATI!$A$2:$A$71,0))</f>
        <v>4</v>
      </c>
      <c r="K67">
        <f>INDEX(HATI!F$2:F$71, MATCH($A67, HATI!$A$2:$A$71,0))</f>
        <v>6</v>
      </c>
      <c r="L67">
        <f>INDEX(HATI!G$2:G$71, MATCH($A67, HATI!$A$2:$A$71,0))</f>
        <v>7</v>
      </c>
      <c r="M67" s="19">
        <f>INDEX(HATI!H$2:H$71, MATCH($A67, HATI!$A$2:$A$71,0))</f>
        <v>6</v>
      </c>
      <c r="N67" s="18">
        <f>INDEX(MABA!D$2:D$71, MATCH($A67, MABA!$A$2:$A$71,0))</f>
        <v>0</v>
      </c>
      <c r="O67">
        <f>INDEX(MABA!E$2:E$71, MATCH($A67, MABA!$A$2:$A$71,0))</f>
        <v>9</v>
      </c>
      <c r="P67">
        <f>INDEX(MABA!F$2:F$71, MATCH($A67, MABA!$A$2:$A$71,0))</f>
        <v>9</v>
      </c>
      <c r="Q67">
        <f>INDEX(MABA!G$2:G$71, MATCH($A67, MABA!$A$2:$A$71,0))</f>
        <v>9</v>
      </c>
      <c r="R67" s="19">
        <f>INDEX(MABA!H$2:H$71, MATCH($A67, MABA!$A$2:$A$71,0))</f>
        <v>7</v>
      </c>
      <c r="S67">
        <f t="shared" si="5"/>
        <v>0</v>
      </c>
      <c r="T67" s="20">
        <f t="shared" si="1"/>
        <v>6</v>
      </c>
      <c r="U67" s="20">
        <f t="shared" si="2"/>
        <v>7</v>
      </c>
      <c r="V67" s="20">
        <f t="shared" si="3"/>
        <v>8</v>
      </c>
      <c r="W67" s="20">
        <f t="shared" si="4"/>
        <v>5.666666666666667</v>
      </c>
    </row>
    <row r="68" spans="1:23" x14ac:dyDescent="0.2">
      <c r="A68" s="11" t="s">
        <v>287</v>
      </c>
      <c r="B68" t="s">
        <v>334</v>
      </c>
      <c r="C68">
        <v>124</v>
      </c>
      <c r="D68" s="18">
        <v>1</v>
      </c>
      <c r="E68">
        <v>3</v>
      </c>
      <c r="F68">
        <v>3</v>
      </c>
      <c r="G68">
        <v>8</v>
      </c>
      <c r="H68" s="19">
        <v>4</v>
      </c>
      <c r="I68">
        <f>INDEX(HATI!D$2:D$71, MATCH($A68, HATI!$A$2:$A$71,0))</f>
        <v>1</v>
      </c>
      <c r="J68">
        <f>INDEX(HATI!E$2:E$71, MATCH($A68, HATI!$A$2:$A$71,0))</f>
        <v>3</v>
      </c>
      <c r="K68">
        <f>INDEX(HATI!F$2:F$71, MATCH($A68, HATI!$A$2:$A$71,0))</f>
        <v>5</v>
      </c>
      <c r="L68">
        <f>INDEX(HATI!G$2:G$71, MATCH($A68, HATI!$A$2:$A$71,0))</f>
        <v>4</v>
      </c>
      <c r="M68" s="19">
        <f>INDEX(HATI!H$2:H$71, MATCH($A68, HATI!$A$2:$A$71,0))</f>
        <v>5</v>
      </c>
      <c r="N68" s="18">
        <v>1</v>
      </c>
      <c r="O68">
        <f>INDEX(MABA!E$2:E$71, MATCH($A68, MABA!$A$2:$A$71,0))</f>
        <v>2</v>
      </c>
      <c r="P68">
        <f>INDEX(MABA!F$2:F$71, MATCH($A68, MABA!$A$2:$A$71,0))</f>
        <v>3</v>
      </c>
      <c r="Q68">
        <f>INDEX(MABA!G$2:G$71, MATCH($A68, MABA!$A$2:$A$71,0))</f>
        <v>0</v>
      </c>
      <c r="R68" s="19">
        <f>INDEX(MABA!H$2:H$71, MATCH($A68, MABA!$A$2:$A$71,0))</f>
        <v>1</v>
      </c>
      <c r="S68">
        <f t="shared" si="5"/>
        <v>1</v>
      </c>
      <c r="T68" s="20">
        <f t="shared" ref="T68:T72" si="6">AVERAGE(O68,J68,E68)</f>
        <v>2.6666666666666665</v>
      </c>
      <c r="U68" s="20">
        <f t="shared" ref="U68:U72" si="7">AVERAGE(P68,K68,F68)</f>
        <v>3.6666666666666665</v>
      </c>
      <c r="V68" s="20">
        <f t="shared" ref="V68:V72" si="8">AVERAGE(Q68,L68,G68)</f>
        <v>4</v>
      </c>
      <c r="W68" s="20">
        <f t="shared" ref="W68:W71" si="9">AVERAGE(R68,M68,H68)</f>
        <v>3.3333333333333335</v>
      </c>
    </row>
    <row r="69" spans="1:23" x14ac:dyDescent="0.2">
      <c r="A69" s="11" t="s">
        <v>290</v>
      </c>
      <c r="B69" t="s">
        <v>334</v>
      </c>
      <c r="C69">
        <v>357</v>
      </c>
      <c r="D69" s="18">
        <v>0</v>
      </c>
      <c r="E69">
        <v>7</v>
      </c>
      <c r="F69">
        <v>7</v>
      </c>
      <c r="G69">
        <v>8</v>
      </c>
      <c r="H69" s="19">
        <v>6</v>
      </c>
      <c r="I69">
        <f>INDEX(HATI!D$2:D$71, MATCH($A69, HATI!$A$2:$A$71,0))</f>
        <v>0</v>
      </c>
      <c r="J69">
        <f>INDEX(HATI!E$2:E$71, MATCH($A69, HATI!$A$2:$A$71,0))</f>
        <v>6</v>
      </c>
      <c r="K69">
        <f>INDEX(HATI!F$2:F$71, MATCH($A69, HATI!$A$2:$A$71,0))</f>
        <v>8</v>
      </c>
      <c r="L69">
        <f>INDEX(HATI!G$2:G$71, MATCH($A69, HATI!$A$2:$A$71,0))</f>
        <v>7</v>
      </c>
      <c r="M69" s="19">
        <f>INDEX(HATI!H$2:H$71, MATCH($A69, HATI!$A$2:$A$71,0))</f>
        <v>7</v>
      </c>
      <c r="N69" s="18">
        <f>INDEX(MABA!D$2:D$71, MATCH($A69, MABA!$A$2:$A$71,0))</f>
        <v>0</v>
      </c>
      <c r="O69">
        <f>INDEX(MABA!E$2:E$71, MATCH($A69, MABA!$A$2:$A$71,0))</f>
        <v>7</v>
      </c>
      <c r="P69">
        <f>INDEX(MABA!F$2:F$71, MATCH($A69, MABA!$A$2:$A$71,0))</f>
        <v>8</v>
      </c>
      <c r="Q69">
        <f>INDEX(MABA!G$2:G$71, MATCH($A69, MABA!$A$2:$A$71,0))</f>
        <v>8</v>
      </c>
      <c r="R69" s="19">
        <f>INDEX(MABA!H$2:H$71, MATCH($A69, MABA!$A$2:$A$71,0))</f>
        <v>7</v>
      </c>
      <c r="S69">
        <f t="shared" si="5"/>
        <v>0</v>
      </c>
      <c r="T69" s="20">
        <f t="shared" si="6"/>
        <v>6.666666666666667</v>
      </c>
      <c r="U69" s="20">
        <f t="shared" si="7"/>
        <v>7.666666666666667</v>
      </c>
      <c r="V69" s="20">
        <f t="shared" si="8"/>
        <v>7.666666666666667</v>
      </c>
      <c r="W69" s="20">
        <f t="shared" si="9"/>
        <v>6.666666666666667</v>
      </c>
    </row>
    <row r="70" spans="1:23" x14ac:dyDescent="0.2">
      <c r="A70" s="11" t="s">
        <v>293</v>
      </c>
      <c r="B70" t="s">
        <v>334</v>
      </c>
      <c r="C70">
        <v>682</v>
      </c>
      <c r="D70" s="18">
        <v>1</v>
      </c>
      <c r="E70">
        <v>8</v>
      </c>
      <c r="F70">
        <v>8</v>
      </c>
      <c r="G70">
        <v>8</v>
      </c>
      <c r="H70" s="19">
        <v>7</v>
      </c>
      <c r="I70">
        <f>INDEX(HATI!D$2:D$71, MATCH($A70, HATI!$A$2:$A$71,0))</f>
        <v>1</v>
      </c>
      <c r="J70">
        <f>INDEX(HATI!E$2:E$71, MATCH($A70, HATI!$A$2:$A$71,0))</f>
        <v>7</v>
      </c>
      <c r="K70">
        <f>INDEX(HATI!F$2:F$71, MATCH($A70, HATI!$A$2:$A$71,0))</f>
        <v>9</v>
      </c>
      <c r="L70">
        <f>INDEX(HATI!G$2:G$71, MATCH($A70, HATI!$A$2:$A$71,0))</f>
        <v>9</v>
      </c>
      <c r="M70" s="19">
        <f>INDEX(HATI!H$2:H$71, MATCH($A70, HATI!$A$2:$A$71,0))</f>
        <v>8</v>
      </c>
      <c r="N70" s="18">
        <f>INDEX(MABA!D$2:D$71, MATCH($A70, MABA!$A$2:$A$71,0))</f>
        <v>1</v>
      </c>
      <c r="O70">
        <f>INDEX(MABA!E$2:E$71, MATCH($A70, MABA!$A$2:$A$71,0))</f>
        <v>10</v>
      </c>
      <c r="P70">
        <f>INDEX(MABA!F$2:F$71, MATCH($A70, MABA!$A$2:$A$71,0))</f>
        <v>10</v>
      </c>
      <c r="Q70">
        <f>INDEX(MABA!G$2:G$71, MATCH($A70, MABA!$A$2:$A$71,0))</f>
        <v>10</v>
      </c>
      <c r="R70" s="19">
        <f>INDEX(MABA!H$2:H$71, MATCH($A70, MABA!$A$2:$A$71,0))</f>
        <v>10</v>
      </c>
      <c r="S70">
        <f>AVERAGE(N70,I70,D70)</f>
        <v>1</v>
      </c>
      <c r="T70" s="20">
        <f t="shared" si="6"/>
        <v>8.3333333333333339</v>
      </c>
      <c r="U70" s="20">
        <f t="shared" si="7"/>
        <v>9</v>
      </c>
      <c r="V70" s="20">
        <f t="shared" si="8"/>
        <v>9</v>
      </c>
      <c r="W70" s="20">
        <f>AVERAGE(R70,M70,H70)</f>
        <v>8.3333333333333339</v>
      </c>
    </row>
    <row r="71" spans="1:23" x14ac:dyDescent="0.2">
      <c r="A71" s="11" t="s">
        <v>281</v>
      </c>
      <c r="B71" t="s">
        <v>334</v>
      </c>
      <c r="C71">
        <v>901</v>
      </c>
      <c r="D71" s="18">
        <v>0</v>
      </c>
      <c r="E71">
        <v>5</v>
      </c>
      <c r="F71">
        <v>5</v>
      </c>
      <c r="G71">
        <v>8</v>
      </c>
      <c r="H71" s="19">
        <v>4</v>
      </c>
      <c r="I71">
        <f>INDEX(HATI!D$2:D$71, MATCH($A71, HATI!$A$2:$A$71,0))</f>
        <v>0</v>
      </c>
      <c r="J71">
        <f>INDEX(HATI!E$2:E$71, MATCH($A71, HATI!$A$2:$A$71,0))</f>
        <v>0</v>
      </c>
      <c r="K71">
        <f>INDEX(HATI!F$2:F$71, MATCH($A71, HATI!$A$2:$A$71,0))</f>
        <v>2</v>
      </c>
      <c r="L71">
        <f>INDEX(HATI!G$2:G$71, MATCH($A71, HATI!$A$2:$A$71,0))</f>
        <v>0</v>
      </c>
      <c r="M71" s="19">
        <f>INDEX(HATI!H$2:H$71, MATCH($A71, HATI!$A$2:$A$71,0))</f>
        <v>2</v>
      </c>
      <c r="N71" s="18">
        <f>INDEX(MABA!D$2:D$71, MATCH($A71, MABA!$A$2:$A$71,0))</f>
        <v>0</v>
      </c>
      <c r="O71">
        <f>INDEX(MABA!E$2:E$71, MATCH($A71, MABA!$A$2:$A$71,0))</f>
        <v>3</v>
      </c>
      <c r="P71">
        <f>INDEX(MABA!F$2:F$71, MATCH($A71, MABA!$A$2:$A$71,0))</f>
        <v>1</v>
      </c>
      <c r="Q71">
        <f>INDEX(MABA!G$2:G$71, MATCH($A71, MABA!$A$2:$A$71,0))</f>
        <v>1</v>
      </c>
      <c r="R71" s="19">
        <f>INDEX(MABA!H$2:H$71, MATCH($A71, MABA!$A$2:$A$71,0))</f>
        <v>1</v>
      </c>
      <c r="S71">
        <f t="shared" si="5"/>
        <v>0</v>
      </c>
      <c r="T71" s="20">
        <f t="shared" si="6"/>
        <v>2.6666666666666665</v>
      </c>
      <c r="U71" s="20">
        <f t="shared" si="7"/>
        <v>2.6666666666666665</v>
      </c>
      <c r="V71" s="20">
        <f t="shared" si="8"/>
        <v>3</v>
      </c>
      <c r="W71" s="20">
        <f t="shared" si="9"/>
        <v>2.3333333333333335</v>
      </c>
    </row>
    <row r="72" spans="1:23" x14ac:dyDescent="0.2">
      <c r="A72" s="11" t="s">
        <v>284</v>
      </c>
      <c r="B72" t="s">
        <v>334</v>
      </c>
      <c r="C72">
        <v>1247</v>
      </c>
      <c r="D72" s="18">
        <v>1</v>
      </c>
      <c r="E72">
        <v>10</v>
      </c>
      <c r="F72">
        <v>10</v>
      </c>
      <c r="G72">
        <v>10</v>
      </c>
      <c r="H72" s="19">
        <v>10</v>
      </c>
      <c r="I72">
        <f>INDEX(HATI!D$2:D$71, MATCH($A72, HATI!$A$2:$A$71,0))</f>
        <v>1</v>
      </c>
      <c r="J72">
        <f>INDEX(HATI!E$2:E$71, MATCH($A72, HATI!$A$2:$A$71,0))</f>
        <v>5</v>
      </c>
      <c r="K72">
        <f>INDEX(HATI!F$2:F$71, MATCH($A72, HATI!$A$2:$A$71,0))</f>
        <v>9</v>
      </c>
      <c r="L72">
        <f>INDEX(HATI!G$2:G$71, MATCH($A72, HATI!$A$2:$A$71,0))</f>
        <v>8</v>
      </c>
      <c r="M72" s="19">
        <f>INDEX(HATI!H$2:H$71, MATCH($A72, HATI!$A$2:$A$71,0))</f>
        <v>8</v>
      </c>
      <c r="N72" s="18">
        <f>INDEX(MABA!D$2:D$71, MATCH($A72, MABA!$A$2:$A$71,0))</f>
        <v>1</v>
      </c>
      <c r="O72">
        <f>INDEX(MABA!E$2:E$71, MATCH($A72, MABA!$A$2:$A$71,0))</f>
        <v>10</v>
      </c>
      <c r="P72">
        <f>INDEX(MABA!F$2:F$71, MATCH($A72, MABA!$A$2:$A$71,0))</f>
        <v>10</v>
      </c>
      <c r="Q72">
        <f>INDEX(MABA!G$2:G$71, MATCH($A72, MABA!$A$2:$A$71,0))</f>
        <v>10</v>
      </c>
      <c r="R72" s="19">
        <f>INDEX(MABA!H$2:H$71, MATCH($A72, MABA!$A$2:$A$71,0))</f>
        <v>10</v>
      </c>
      <c r="S72">
        <f t="shared" si="5"/>
        <v>1</v>
      </c>
      <c r="T72" s="20">
        <f t="shared" si="6"/>
        <v>8.3333333333333339</v>
      </c>
      <c r="U72" s="20">
        <f t="shared" si="7"/>
        <v>9.6666666666666661</v>
      </c>
      <c r="V72" s="20">
        <f t="shared" si="8"/>
        <v>9.3333333333333339</v>
      </c>
      <c r="W72" s="20">
        <f>AVERAGE(R72,M72,H72)</f>
        <v>9.3333333333333339</v>
      </c>
    </row>
    <row r="76" spans="1:23" x14ac:dyDescent="0.2">
      <c r="C76" s="7" t="s">
        <v>342</v>
      </c>
    </row>
    <row r="78" spans="1:23" x14ac:dyDescent="0.2">
      <c r="D78" t="s">
        <v>343</v>
      </c>
    </row>
    <row r="79" spans="1:23" x14ac:dyDescent="0.2">
      <c r="C79" s="22" t="s">
        <v>315</v>
      </c>
      <c r="D79" s="23" t="s">
        <v>344</v>
      </c>
      <c r="E79" s="23" t="str">
        <f>"+CPT"</f>
        <v>+CPT</v>
      </c>
      <c r="F79" s="23" t="str">
        <f>"+CL"</f>
        <v>+CL</v>
      </c>
      <c r="G79" s="22" t="str">
        <f>"+IL"</f>
        <v>+IL</v>
      </c>
      <c r="H79" s="24" t="s">
        <v>345</v>
      </c>
      <c r="I79" s="23" t="s">
        <v>346</v>
      </c>
    </row>
    <row r="80" spans="1:23" x14ac:dyDescent="0.2">
      <c r="C80" s="19" t="s">
        <v>347</v>
      </c>
      <c r="D80" s="20">
        <f>AVERAGE(
  AVERAGEIFS($T$3:$T$72, $B$3:$B$72, "GPT2 Base"),
  AVERAGEIFS($U$3:$U$72, $B$3:$B$72, "GPT2 Base"),
  AVERAGEIFS($V$3:$V$72, $B$3:$B$72, "GPT2 Base"),
  AVERAGEIFS($W$3:$W$72, $B$3:$B$72, "GPT2 Base")
)</f>
        <v>0.3</v>
      </c>
      <c r="E80" s="20">
        <f>AVERAGE(
  AVERAGEIFS($T$3:$T$72, $B$3:$B$72, "GPT2 CPT"),
  AVERAGEIFS($U$3:$U$72, $B$3:$B$72, "GPT2 CPT"),
  AVERAGEIFS($V$3:$V$72, $B$3:$B$72, "GPT2 CPT"),
  AVERAGEIFS($W$3:$W$72, $B$3:$B$72, "GPT2 CPT")
)</f>
        <v>0.41666666666666663</v>
      </c>
      <c r="F80" s="20">
        <f>AVERAGE(
  AVERAGEIFS($T$3:$T$72, $B$3:$B$72, "GPT2 CL"),
  AVERAGEIFS($U$3:$U$72, $B$3:$B$72, "GPT2 CL"),
  AVERAGEIFS($V$3:$V$72, $B$3:$B$72, "GPT2 CL"),
  AVERAGEIFS($W$3:$W$72, $B$3:$B$72, "GPT2 CL")
)</f>
        <v>0.33333333333333337</v>
      </c>
      <c r="G80" s="25">
        <f>AVERAGE(
  AVERAGEIFS($T$3:$T$72, $B$3:$B$72, "GPT2 Instr"),
  AVERAGEIFS($U$3:$U$72, $B$3:$B$72, "GPT2 Instr"),
  AVERAGEIFS($V$3:$V$72, $B$3:$B$72, "GPT2 Instr"),
  AVERAGEIFS($W$3:$W$72, $B$3:$B$72, "GPT2 Instr")
)</f>
        <v>0.90000000000000013</v>
      </c>
      <c r="H80" s="26" t="s">
        <v>348</v>
      </c>
      <c r="I80" s="27" t="s">
        <v>348</v>
      </c>
    </row>
    <row r="81" spans="3:9" x14ac:dyDescent="0.2">
      <c r="C81" s="19" t="s">
        <v>349</v>
      </c>
      <c r="D81" s="20">
        <f>AVERAGE(
  AVERAGEIFS($T$3:$T$72, $B$3:$B$72, "GPT2 large Base"),
  AVERAGEIFS($U$3:$U$72, $B$3:$B$72, "GPT2 large Base"),
  AVERAGEIFS($V$3:$V$72, $B$3:$B$72, "GPT2 large Base"),
  AVERAGEIFS($W$3:$W$72, $B$3:$B$72, "GPT2 large Base")
)</f>
        <v>0.35</v>
      </c>
      <c r="E81" s="20">
        <f>AVERAGE(
  AVERAGEIFS($T$3:$T$72, $B$3:$B$72, "GPT2 large CPT"),
  AVERAGEIFS($U$3:$U$72, $B$3:$B$72, "GPT2 large CPT"),
  AVERAGEIFS($V$3:$V$72, $B$3:$B$72, "GPT2 large CPT"),
  AVERAGEIFS($W$3:$W$72, $B$3:$B$72, "GPT2 large CPT")
)</f>
        <v>0.49999999999999994</v>
      </c>
      <c r="F81" s="20">
        <f>AVERAGE(
  AVERAGEIFS($T$3:$T$72, $B$3:$B$72, "GPT2 large CL"),
  AVERAGEIFS($U$3:$U$72, $B$3:$B$72, "GPT2 large CL"),
  AVERAGEIFS($V$3:$V$72, $B$3:$B$72, "GPT2 large CL"),
  AVERAGEIFS($W$3:$W$72, $B$3:$B$72, "GPT2 large CL")
)</f>
        <v>0.41666666666666663</v>
      </c>
      <c r="G81" s="25">
        <f>AVERAGE(
  AVERAGEIFS($T$3:$T$72, $B$3:$B$72, "GPT2 large Instr"),
  AVERAGEIFS($U$3:$U$72, $B$3:$B$72, "GPT2 large Instr"),
  AVERAGEIFS($V$3:$V$72, $B$3:$B$72, "GPT2 large Instr"),
  AVERAGEIFS($W$3:$W$72, $B$3:$B$72, "GPT2 large Instr")
)</f>
        <v>1.2166666666666668</v>
      </c>
      <c r="H81" s="26" t="s">
        <v>348</v>
      </c>
      <c r="I81" s="27" t="s">
        <v>348</v>
      </c>
    </row>
    <row r="82" spans="3:9" x14ac:dyDescent="0.2">
      <c r="C82" s="19" t="s">
        <v>350</v>
      </c>
      <c r="D82" s="20">
        <f>AVERAGE(
  AVERAGEIFS($T$3:$T$72, $B$3:$B$72, "Mistral Base"),
  AVERAGEIFS($U$3:$U$72, $B$3:$B$72, "Mistral Base"),
  AVERAGEIFS($V$3:$V$72, $B$3:$B$72, "Mistral Base"),
  AVERAGEIFS($W$3:$W$72, $B$3:$B$72, "Mistral Base")
)</f>
        <v>2.8666666666666667</v>
      </c>
      <c r="E82" s="20">
        <f>AVERAGE(
  AVERAGEIFS($T$3:$T$72, $B$3:$B$72, "Mistral CPT"),
  AVERAGEIFS($U$3:$U$72, $B$3:$B$72, "Mistral CPT"),
  AVERAGEIFS($V$3:$V$72, $B$3:$B$72, "Mistral CPT"),
  AVERAGEIFS($W$3:$W$72, $B$3:$B$72, "Mistral CPT")
)</f>
        <v>5.35</v>
      </c>
      <c r="F82" s="25">
        <f>AVERAGE(
  AVERAGEIFS($T$3:$T$72, $B$3:$B$72, "Mistral CL"),
  AVERAGEIFS($U$3:$U$72, $B$3:$B$72, "Mistral CL"),
  AVERAGEIFS($V$3:$V$72, $B$3:$B$72, "Mistral CL"),
  AVERAGEIFS($W$3:$W$72, $B$3:$B$72, "Mistral CL")
)</f>
        <v>1.2000000000000002</v>
      </c>
      <c r="G82" s="25">
        <f>AVERAGE(
  AVERAGEIFS($T$3:$T$72, $B$3:$B$72, "Mistral Instr"),
  AVERAGEIFS($U$3:$U$72, $B$3:$B$72, "Mistral Instr"),
  AVERAGEIFS($V$3:$V$72, $B$3:$B$72, "Mistral Instr"),
  AVERAGEIFS($W$3:$W$72, $B$3:$B$72, "Mistral Instr")
)</f>
        <v>5.5666666666666664</v>
      </c>
      <c r="H82" s="28">
        <f>AVERAGE(
  AVERAGEIFS($T$3:$T$72, $B$3:$B$72, "Mistral base instr"),
  AVERAGEIFS($U$3:$U$72, $B$3:$B$72, "Mistral base instr"),
  AVERAGEIFS($V$3:$V$72, $B$3:$B$72, "Mistral base instr"),
  AVERAGEIFS($W$3:$W$72, $B$3:$B$72, "Mistral base instr")
)</f>
        <v>6.2166666666666668</v>
      </c>
      <c r="I82" s="25">
        <f>AVERAGE(
  AVERAGEIFS($T$3:$T$72, $B$3:$B$72, "Mistral pt instr"),
  AVERAGEIFS($U$3:$U$72, $B$3:$B$72, "Mistral pt instr"),
  AVERAGEIFS($V$3:$V$72, $B$3:$B$72, "Mistral pt instr"),
  AVERAGEIFS($W$3:$W$72, $B$3:$B$72, "Mistral pt instr")
)</f>
        <v>6.3666666666666671</v>
      </c>
    </row>
    <row r="85" spans="3:9" x14ac:dyDescent="0.2">
      <c r="C85" s="5" t="s">
        <v>351</v>
      </c>
    </row>
    <row r="87" spans="3:9" x14ac:dyDescent="0.2">
      <c r="D87" t="s">
        <v>352</v>
      </c>
    </row>
    <row r="88" spans="3:9" x14ac:dyDescent="0.2">
      <c r="C88" s="22" t="s">
        <v>343</v>
      </c>
      <c r="D88" s="23" t="s">
        <v>353</v>
      </c>
      <c r="E88" s="23" t="s">
        <v>354</v>
      </c>
      <c r="F88" s="23" t="s">
        <v>355</v>
      </c>
      <c r="G88" s="23" t="s">
        <v>356</v>
      </c>
      <c r="H88" s="23" t="s">
        <v>357</v>
      </c>
    </row>
    <row r="89" spans="3:9" x14ac:dyDescent="0.2">
      <c r="C89" s="19" t="s">
        <v>322</v>
      </c>
      <c r="D89" s="29">
        <f t="shared" ref="D89:H92" si="10">AVERAGEIFS(S$3:S$72,$B$3:$B$72,$C89)</f>
        <v>0</v>
      </c>
      <c r="E89" s="20">
        <f t="shared" si="10"/>
        <v>0</v>
      </c>
      <c r="F89" s="20">
        <f t="shared" si="10"/>
        <v>0.93333333333333335</v>
      </c>
      <c r="G89" s="20">
        <f t="shared" si="10"/>
        <v>0</v>
      </c>
      <c r="H89" s="20">
        <f t="shared" si="10"/>
        <v>0.26666666666666666</v>
      </c>
    </row>
    <row r="90" spans="3:9" x14ac:dyDescent="0.2">
      <c r="C90" s="19" t="s">
        <v>323</v>
      </c>
      <c r="D90" s="29">
        <f t="shared" si="10"/>
        <v>0</v>
      </c>
      <c r="E90" s="20">
        <f t="shared" si="10"/>
        <v>0.13333333333333333</v>
      </c>
      <c r="F90" s="20">
        <f t="shared" si="10"/>
        <v>1.0666666666666667</v>
      </c>
      <c r="G90" s="20">
        <f t="shared" si="10"/>
        <v>6.6666666666666666E-2</v>
      </c>
      <c r="H90" s="20">
        <f t="shared" si="10"/>
        <v>0.4</v>
      </c>
    </row>
    <row r="91" spans="3:9" x14ac:dyDescent="0.2">
      <c r="C91" s="19" t="s">
        <v>324</v>
      </c>
      <c r="D91" s="29">
        <f t="shared" si="10"/>
        <v>0</v>
      </c>
      <c r="E91" s="20">
        <f t="shared" si="10"/>
        <v>6.6666666666666666E-2</v>
      </c>
      <c r="F91" s="20">
        <f t="shared" si="10"/>
        <v>0.8</v>
      </c>
      <c r="G91" s="20">
        <f t="shared" si="10"/>
        <v>6.6666666666666666E-2</v>
      </c>
      <c r="H91" s="20">
        <f t="shared" si="10"/>
        <v>0.4</v>
      </c>
    </row>
    <row r="92" spans="3:9" x14ac:dyDescent="0.2">
      <c r="C92" s="19" t="s">
        <v>326</v>
      </c>
      <c r="D92" s="29">
        <f t="shared" si="10"/>
        <v>0</v>
      </c>
      <c r="E92" s="20">
        <f t="shared" si="10"/>
        <v>0.53333333333333344</v>
      </c>
      <c r="F92" s="20">
        <f t="shared" si="10"/>
        <v>1.3333333333333335</v>
      </c>
      <c r="G92" s="20">
        <f t="shared" si="10"/>
        <v>1.0666666666666667</v>
      </c>
      <c r="H92" s="20">
        <f t="shared" si="10"/>
        <v>0.66666666666666674</v>
      </c>
    </row>
    <row r="95" spans="3:9" x14ac:dyDescent="0.2">
      <c r="C95" s="5" t="s">
        <v>358</v>
      </c>
    </row>
    <row r="97" spans="3:8" x14ac:dyDescent="0.2">
      <c r="D97" t="s">
        <v>352</v>
      </c>
    </row>
    <row r="98" spans="3:8" x14ac:dyDescent="0.2">
      <c r="C98" s="19" t="s">
        <v>343</v>
      </c>
      <c r="D98" s="23" t="s">
        <v>353</v>
      </c>
      <c r="E98" s="23" t="s">
        <v>354</v>
      </c>
      <c r="F98" s="23" t="s">
        <v>355</v>
      </c>
      <c r="G98" s="23" t="s">
        <v>356</v>
      </c>
      <c r="H98" s="23" t="s">
        <v>357</v>
      </c>
    </row>
    <row r="99" spans="3:8" x14ac:dyDescent="0.2">
      <c r="C99" s="30" t="s">
        <v>325</v>
      </c>
      <c r="D99" s="29">
        <f t="shared" ref="D99:H102" si="11">AVERAGEIFS(S$3:S$72,$B$3:$B$72,$C99)</f>
        <v>0</v>
      </c>
      <c r="E99" s="20">
        <f t="shared" si="11"/>
        <v>0</v>
      </c>
      <c r="F99" s="20">
        <f t="shared" si="11"/>
        <v>1.1333333333333333</v>
      </c>
      <c r="G99" s="20">
        <f t="shared" si="11"/>
        <v>6.6666666666666666E-2</v>
      </c>
      <c r="H99" s="20">
        <f t="shared" si="11"/>
        <v>0.2</v>
      </c>
    </row>
    <row r="100" spans="3:8" x14ac:dyDescent="0.2">
      <c r="C100" s="19" t="s">
        <v>327</v>
      </c>
      <c r="D100" s="29">
        <f t="shared" si="11"/>
        <v>0</v>
      </c>
      <c r="E100" s="20">
        <f t="shared" si="11"/>
        <v>0.2</v>
      </c>
      <c r="F100" s="20">
        <f t="shared" si="11"/>
        <v>1.1333333333333333</v>
      </c>
      <c r="G100" s="20">
        <f t="shared" si="11"/>
        <v>0.33333333333333337</v>
      </c>
      <c r="H100" s="20">
        <f t="shared" si="11"/>
        <v>0.33333333333333331</v>
      </c>
    </row>
    <row r="101" spans="3:8" x14ac:dyDescent="0.2">
      <c r="C101" s="19" t="s">
        <v>329</v>
      </c>
      <c r="D101" s="29">
        <f t="shared" si="11"/>
        <v>0</v>
      </c>
      <c r="E101" s="20">
        <f t="shared" si="11"/>
        <v>6.6666666666666666E-2</v>
      </c>
      <c r="F101" s="20">
        <f t="shared" si="11"/>
        <v>1.2</v>
      </c>
      <c r="G101" s="20">
        <f t="shared" si="11"/>
        <v>0</v>
      </c>
      <c r="H101" s="20">
        <f t="shared" si="11"/>
        <v>0.4</v>
      </c>
    </row>
    <row r="102" spans="3:8" x14ac:dyDescent="0.2">
      <c r="C102" s="19" t="s">
        <v>328</v>
      </c>
      <c r="D102" s="29">
        <f t="shared" si="11"/>
        <v>0</v>
      </c>
      <c r="E102" s="20">
        <f t="shared" si="11"/>
        <v>1.0666666666666667</v>
      </c>
      <c r="F102" s="20">
        <f t="shared" si="11"/>
        <v>2.2000000000000002</v>
      </c>
      <c r="G102" s="20">
        <f t="shared" si="11"/>
        <v>0.13333333333333333</v>
      </c>
      <c r="H102" s="20">
        <f t="shared" si="11"/>
        <v>1.4666666666666668</v>
      </c>
    </row>
    <row r="105" spans="3:8" x14ac:dyDescent="0.2">
      <c r="C105" s="5" t="s">
        <v>350</v>
      </c>
    </row>
    <row r="107" spans="3:8" x14ac:dyDescent="0.2">
      <c r="D107" t="s">
        <v>352</v>
      </c>
    </row>
    <row r="108" spans="3:8" x14ac:dyDescent="0.2">
      <c r="C108" s="22" t="s">
        <v>343</v>
      </c>
      <c r="D108" s="23" t="s">
        <v>353</v>
      </c>
      <c r="E108" s="23" t="s">
        <v>354</v>
      </c>
      <c r="F108" s="23" t="s">
        <v>355</v>
      </c>
      <c r="G108" s="23" t="s">
        <v>356</v>
      </c>
      <c r="H108" s="23" t="s">
        <v>357</v>
      </c>
    </row>
    <row r="109" spans="3:8" x14ac:dyDescent="0.2">
      <c r="C109" s="19" t="s">
        <v>330</v>
      </c>
      <c r="D109" s="29">
        <f t="shared" ref="D109:H114" si="12">AVERAGEIFS(S$3:S$72,$B$3:$B$72,$C109)</f>
        <v>0.2</v>
      </c>
      <c r="E109" s="20">
        <f t="shared" si="12"/>
        <v>2.4</v>
      </c>
      <c r="F109" s="20">
        <f t="shared" si="12"/>
        <v>3.6666666666666665</v>
      </c>
      <c r="G109" s="20">
        <f t="shared" si="12"/>
        <v>2.5333333333333337</v>
      </c>
      <c r="H109" s="20">
        <f t="shared" si="12"/>
        <v>2.8666666666666667</v>
      </c>
    </row>
    <row r="110" spans="3:8" x14ac:dyDescent="0.2">
      <c r="C110" s="19" t="s">
        <v>331</v>
      </c>
      <c r="D110" s="29">
        <f t="shared" si="12"/>
        <v>0.2</v>
      </c>
      <c r="E110" s="20">
        <f t="shared" si="12"/>
        <v>4.5333333333333332</v>
      </c>
      <c r="F110" s="20">
        <f t="shared" si="12"/>
        <v>5.6</v>
      </c>
      <c r="G110" s="20">
        <f t="shared" si="12"/>
        <v>6.2</v>
      </c>
      <c r="H110" s="20">
        <f t="shared" si="12"/>
        <v>5.0666666666666664</v>
      </c>
    </row>
    <row r="111" spans="3:8" x14ac:dyDescent="0.2">
      <c r="C111" s="19" t="s">
        <v>332</v>
      </c>
      <c r="D111" s="29">
        <f t="shared" si="12"/>
        <v>0</v>
      </c>
      <c r="E111" s="20">
        <f t="shared" si="12"/>
        <v>0.53333333333333333</v>
      </c>
      <c r="F111" s="20">
        <f t="shared" si="12"/>
        <v>1.2666666666666668</v>
      </c>
      <c r="G111" s="20">
        <f t="shared" si="12"/>
        <v>2.1333333333333337</v>
      </c>
      <c r="H111" s="20">
        <f t="shared" si="12"/>
        <v>0.86666666666666659</v>
      </c>
    </row>
    <row r="112" spans="3:8" x14ac:dyDescent="0.2">
      <c r="C112" s="19" t="s">
        <v>333</v>
      </c>
      <c r="D112" s="29">
        <f t="shared" si="12"/>
        <v>0</v>
      </c>
      <c r="E112" s="20">
        <f t="shared" si="12"/>
        <v>5.0666666666666664</v>
      </c>
      <c r="F112" s="20">
        <f t="shared" si="12"/>
        <v>6.2</v>
      </c>
      <c r="G112" s="20">
        <f t="shared" si="12"/>
        <v>5.7333333333333325</v>
      </c>
      <c r="H112" s="20">
        <f t="shared" si="12"/>
        <v>5.2666666666666675</v>
      </c>
    </row>
    <row r="113" spans="3:8" x14ac:dyDescent="0.2">
      <c r="C113" s="19" t="s">
        <v>334</v>
      </c>
      <c r="D113" s="29">
        <f t="shared" si="12"/>
        <v>0.6</v>
      </c>
      <c r="E113" s="20">
        <f t="shared" si="12"/>
        <v>5.7333333333333343</v>
      </c>
      <c r="F113" s="20">
        <f t="shared" si="12"/>
        <v>6.5333333333333341</v>
      </c>
      <c r="G113" s="20">
        <f t="shared" si="12"/>
        <v>6.6</v>
      </c>
      <c r="H113" s="20">
        <f t="shared" si="12"/>
        <v>6</v>
      </c>
    </row>
    <row r="114" spans="3:8" x14ac:dyDescent="0.2">
      <c r="C114" s="19" t="s">
        <v>335</v>
      </c>
      <c r="D114" s="29">
        <f t="shared" si="12"/>
        <v>0.4</v>
      </c>
      <c r="E114" s="20">
        <f t="shared" si="12"/>
        <v>5.6000000000000005</v>
      </c>
      <c r="F114" s="20">
        <f t="shared" si="12"/>
        <v>6.4666666666666659</v>
      </c>
      <c r="G114" s="20">
        <f t="shared" si="12"/>
        <v>7.5333333333333341</v>
      </c>
      <c r="H114" s="20">
        <f t="shared" si="12"/>
        <v>5.8666666666666671</v>
      </c>
    </row>
    <row r="117" spans="3:8" x14ac:dyDescent="0.2">
      <c r="C117" s="5" t="s">
        <v>359</v>
      </c>
    </row>
    <row r="119" spans="3:8" x14ac:dyDescent="0.2">
      <c r="D119" t="s">
        <v>352</v>
      </c>
    </row>
    <row r="120" spans="3:8" x14ac:dyDescent="0.2">
      <c r="C120" s="22" t="s">
        <v>343</v>
      </c>
      <c r="D120" s="23" t="s">
        <v>353</v>
      </c>
      <c r="E120" s="23" t="s">
        <v>354</v>
      </c>
      <c r="F120" s="23" t="s">
        <v>355</v>
      </c>
      <c r="G120" s="23" t="s">
        <v>356</v>
      </c>
      <c r="H120" s="23" t="s">
        <v>357</v>
      </c>
    </row>
    <row r="121" spans="3:8" x14ac:dyDescent="0.2">
      <c r="C121" s="19" t="s">
        <v>326</v>
      </c>
      <c r="D121" s="29">
        <f t="shared" ref="D121:H124" si="13">AVERAGEIFS(S$3:S$72,$B$3:$B$72,$C121)</f>
        <v>0</v>
      </c>
      <c r="E121" s="20">
        <f t="shared" si="13"/>
        <v>0.53333333333333344</v>
      </c>
      <c r="F121" s="20">
        <f t="shared" si="13"/>
        <v>1.3333333333333335</v>
      </c>
      <c r="G121" s="20">
        <f t="shared" si="13"/>
        <v>1.0666666666666667</v>
      </c>
      <c r="H121" s="20">
        <f t="shared" si="13"/>
        <v>0.66666666666666674</v>
      </c>
    </row>
    <row r="122" spans="3:8" x14ac:dyDescent="0.2">
      <c r="C122" s="19" t="s">
        <v>328</v>
      </c>
      <c r="D122" s="29">
        <f t="shared" si="13"/>
        <v>0</v>
      </c>
      <c r="E122" s="20">
        <f t="shared" si="13"/>
        <v>1.0666666666666667</v>
      </c>
      <c r="F122" s="20">
        <f t="shared" si="13"/>
        <v>2.2000000000000002</v>
      </c>
      <c r="G122" s="20">
        <f t="shared" si="13"/>
        <v>0.13333333333333333</v>
      </c>
      <c r="H122" s="20">
        <f t="shared" si="13"/>
        <v>1.4666666666666668</v>
      </c>
    </row>
    <row r="123" spans="3:8" x14ac:dyDescent="0.2">
      <c r="C123" s="19" t="s">
        <v>333</v>
      </c>
      <c r="D123" s="29">
        <f t="shared" si="13"/>
        <v>0</v>
      </c>
      <c r="E123" s="20">
        <f t="shared" si="13"/>
        <v>5.0666666666666664</v>
      </c>
      <c r="F123" s="20">
        <f t="shared" si="13"/>
        <v>6.2</v>
      </c>
      <c r="G123" s="20">
        <f t="shared" si="13"/>
        <v>5.7333333333333325</v>
      </c>
      <c r="H123" s="20">
        <f t="shared" si="13"/>
        <v>5.2666666666666675</v>
      </c>
    </row>
    <row r="124" spans="3:8" x14ac:dyDescent="0.2">
      <c r="C124" s="19" t="s">
        <v>334</v>
      </c>
      <c r="D124" s="29">
        <f t="shared" si="13"/>
        <v>0.6</v>
      </c>
      <c r="E124" s="20">
        <f t="shared" si="13"/>
        <v>5.7333333333333343</v>
      </c>
      <c r="F124" s="20">
        <f t="shared" si="13"/>
        <v>6.5333333333333341</v>
      </c>
      <c r="G124" s="20">
        <f t="shared" si="13"/>
        <v>6.6</v>
      </c>
      <c r="H124" s="20">
        <f t="shared" si="13"/>
        <v>6</v>
      </c>
    </row>
    <row r="125" spans="3:8" x14ac:dyDescent="0.2">
      <c r="D125" s="31"/>
      <c r="E125" s="29"/>
      <c r="F125" s="29"/>
      <c r="G125" s="29"/>
      <c r="H125" s="29"/>
    </row>
    <row r="126" spans="3:8" x14ac:dyDescent="0.2">
      <c r="D126" s="31"/>
      <c r="E126" s="29"/>
      <c r="F126" s="29"/>
      <c r="G126" s="29"/>
      <c r="H126" s="29"/>
    </row>
    <row r="129" spans="3:8" x14ac:dyDescent="0.2">
      <c r="C129" t="s">
        <v>315</v>
      </c>
      <c r="D129" t="s">
        <v>360</v>
      </c>
      <c r="E129" t="s">
        <v>354</v>
      </c>
      <c r="F129" t="s">
        <v>355</v>
      </c>
      <c r="G129" t="s">
        <v>356</v>
      </c>
      <c r="H129" t="s">
        <v>357</v>
      </c>
    </row>
    <row r="130" spans="3:8" x14ac:dyDescent="0.2">
      <c r="C130" s="19" t="s">
        <v>322</v>
      </c>
      <c r="D130" s="8">
        <v>1.52E-2</v>
      </c>
      <c r="E130" s="9">
        <v>0</v>
      </c>
      <c r="F130" s="9">
        <v>0.93333333333333335</v>
      </c>
      <c r="G130" s="9">
        <v>0</v>
      </c>
      <c r="H130" s="20">
        <v>0.26666666666666666</v>
      </c>
    </row>
    <row r="131" spans="3:8" x14ac:dyDescent="0.2">
      <c r="C131" s="19" t="s">
        <v>323</v>
      </c>
      <c r="D131" s="8">
        <v>7.6E-3</v>
      </c>
      <c r="E131" s="9">
        <v>0.13333333333333333</v>
      </c>
      <c r="F131" s="9">
        <v>1.0666666666666667</v>
      </c>
      <c r="G131" s="9">
        <v>6.6666666666666666E-2</v>
      </c>
      <c r="H131" s="20">
        <v>0.4</v>
      </c>
    </row>
    <row r="132" spans="3:8" x14ac:dyDescent="0.2">
      <c r="C132" s="19" t="s">
        <v>324</v>
      </c>
      <c r="D132" s="8">
        <v>1.5E-3</v>
      </c>
      <c r="E132" s="9">
        <v>6.6666666666666666E-2</v>
      </c>
      <c r="F132" s="9">
        <v>0.8</v>
      </c>
      <c r="G132" s="9">
        <v>6.6666666666666666E-2</v>
      </c>
      <c r="H132" s="20">
        <v>0.4</v>
      </c>
    </row>
    <row r="133" spans="3:8" x14ac:dyDescent="0.2">
      <c r="C133" s="19" t="s">
        <v>326</v>
      </c>
      <c r="D133" s="8">
        <v>1.52E-2</v>
      </c>
      <c r="E133" s="9">
        <v>0.53333333333333344</v>
      </c>
      <c r="F133" s="9">
        <v>1.3333333333333335</v>
      </c>
      <c r="G133" s="9">
        <v>1.0666666666666667</v>
      </c>
      <c r="H133" s="20">
        <v>0.66666666666666674</v>
      </c>
    </row>
    <row r="134" spans="3:8" x14ac:dyDescent="0.2">
      <c r="C134" s="30" t="s">
        <v>325</v>
      </c>
      <c r="D134" s="8">
        <v>0.1197</v>
      </c>
      <c r="E134" s="9">
        <v>0</v>
      </c>
      <c r="F134" s="9">
        <v>1.1333333333333333</v>
      </c>
      <c r="G134" s="9">
        <v>6.6666666666666666E-2</v>
      </c>
      <c r="H134" s="20">
        <v>0.2</v>
      </c>
    </row>
    <row r="135" spans="3:8" x14ac:dyDescent="0.2">
      <c r="C135" s="19" t="s">
        <v>327</v>
      </c>
      <c r="D135" s="8">
        <v>1.29E-2</v>
      </c>
      <c r="E135" s="9">
        <v>0.2</v>
      </c>
      <c r="F135" s="9">
        <v>1.1333333333333333</v>
      </c>
      <c r="G135" s="9">
        <v>0.33333333333333337</v>
      </c>
      <c r="H135" s="20">
        <v>0.33333333333333331</v>
      </c>
    </row>
    <row r="136" spans="3:8" x14ac:dyDescent="0.2">
      <c r="C136" s="19" t="s">
        <v>329</v>
      </c>
      <c r="D136" s="8">
        <v>2.0500000000000001E-2</v>
      </c>
      <c r="E136" s="9">
        <v>6.6666666666666666E-2</v>
      </c>
      <c r="F136" s="9">
        <v>1.2</v>
      </c>
      <c r="G136" s="9">
        <v>0</v>
      </c>
      <c r="H136" s="20">
        <v>0.4</v>
      </c>
    </row>
    <row r="137" spans="3:8" x14ac:dyDescent="0.2">
      <c r="C137" s="19" t="s">
        <v>328</v>
      </c>
      <c r="D137" s="8">
        <v>2.4299999999999999E-2</v>
      </c>
      <c r="E137" s="9">
        <v>1.0666666666666667</v>
      </c>
      <c r="F137" s="9">
        <v>2.2000000000000002</v>
      </c>
      <c r="G137" s="9">
        <v>0.13333333333333333</v>
      </c>
      <c r="H137" s="20">
        <v>1.4666666666666668</v>
      </c>
    </row>
    <row r="138" spans="3:8" x14ac:dyDescent="0.2">
      <c r="C138" s="19" t="s">
        <v>330</v>
      </c>
      <c r="D138" s="8">
        <v>0.1971</v>
      </c>
      <c r="E138" s="9">
        <v>2.4</v>
      </c>
      <c r="F138" s="9">
        <v>3.6666666666666665</v>
      </c>
      <c r="G138" s="9">
        <v>2.5333333333333337</v>
      </c>
      <c r="H138" s="20">
        <v>2.8666666666666667</v>
      </c>
    </row>
    <row r="139" spans="3:8" x14ac:dyDescent="0.2">
      <c r="C139" s="19" t="s">
        <v>331</v>
      </c>
      <c r="D139" s="8">
        <v>0.1812</v>
      </c>
      <c r="E139" s="9">
        <v>4.5333333333333332</v>
      </c>
      <c r="F139" s="9">
        <v>5.6</v>
      </c>
      <c r="G139" s="9">
        <v>6.2</v>
      </c>
      <c r="H139" s="20">
        <v>5.0666666666666664</v>
      </c>
    </row>
    <row r="140" spans="3:8" x14ac:dyDescent="0.2">
      <c r="C140" s="19" t="s">
        <v>332</v>
      </c>
      <c r="D140" s="8">
        <v>1.5E-3</v>
      </c>
      <c r="E140" s="9">
        <v>0.53333333333333333</v>
      </c>
      <c r="F140" s="9">
        <v>1.2666666666666668</v>
      </c>
      <c r="G140" s="9">
        <v>2.1333333333333337</v>
      </c>
      <c r="H140" s="20">
        <v>0.86666666666666659</v>
      </c>
    </row>
    <row r="141" spans="3:8" x14ac:dyDescent="0.2">
      <c r="C141" s="19" t="s">
        <v>333</v>
      </c>
      <c r="D141" s="8">
        <v>0.24490000000000001</v>
      </c>
      <c r="E141" s="9">
        <v>5.0666666666666664</v>
      </c>
      <c r="F141" s="9">
        <v>6.2</v>
      </c>
      <c r="G141" s="9">
        <v>5.7333333333333325</v>
      </c>
      <c r="H141" s="20">
        <v>5.2666666666666675</v>
      </c>
    </row>
    <row r="142" spans="3:8" x14ac:dyDescent="0.2">
      <c r="C142" s="19" t="s">
        <v>334</v>
      </c>
      <c r="D142" s="8">
        <v>0.1782</v>
      </c>
      <c r="E142" s="9">
        <v>5.7333333333333343</v>
      </c>
      <c r="F142" s="9">
        <v>6.5333333333333341</v>
      </c>
      <c r="G142" s="9">
        <v>6.6</v>
      </c>
      <c r="H142" s="20">
        <v>6</v>
      </c>
    </row>
    <row r="143" spans="3:8" x14ac:dyDescent="0.2">
      <c r="C143" s="19" t="s">
        <v>335</v>
      </c>
      <c r="D143" s="8">
        <v>0.25090000000000001</v>
      </c>
      <c r="E143" s="9">
        <v>5.6000000000000005</v>
      </c>
      <c r="F143" s="9">
        <v>6.4666666666666659</v>
      </c>
      <c r="G143" s="9">
        <v>7.5333333333333341</v>
      </c>
      <c r="H143" s="20">
        <v>5.8666666666666671</v>
      </c>
    </row>
  </sheetData>
  <mergeCells count="4">
    <mergeCell ref="D1:H1"/>
    <mergeCell ref="I1:M1"/>
    <mergeCell ref="N1:R1"/>
    <mergeCell ref="S1:W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8AB0-8E54-9443-BE7F-8DCA8EFA839B}">
  <dimension ref="A1:H71"/>
  <sheetViews>
    <sheetView workbookViewId="0">
      <selection activeCell="B26" sqref="B26"/>
    </sheetView>
  </sheetViews>
  <sheetFormatPr baseColWidth="10" defaultColWidth="11" defaultRowHeight="16" x14ac:dyDescent="0.2"/>
  <cols>
    <col min="1" max="1" width="36.33203125" bestFit="1" customWidth="1"/>
    <col min="2" max="2" width="15" bestFit="1" customWidth="1"/>
    <col min="3" max="3" width="9.83203125" bestFit="1" customWidth="1"/>
    <col min="4" max="8" width="15.83203125" customWidth="1"/>
  </cols>
  <sheetData>
    <row r="1" spans="1:8" ht="85" x14ac:dyDescent="0.2">
      <c r="A1" s="5" t="s">
        <v>314</v>
      </c>
      <c r="B1" s="5" t="s">
        <v>315</v>
      </c>
      <c r="C1" s="5" t="s">
        <v>316</v>
      </c>
      <c r="D1" s="4" t="s">
        <v>317</v>
      </c>
      <c r="E1" s="4" t="s">
        <v>318</v>
      </c>
      <c r="F1" s="4" t="s">
        <v>319</v>
      </c>
      <c r="G1" s="4" t="s">
        <v>320</v>
      </c>
      <c r="H1" s="4" t="s">
        <v>321</v>
      </c>
    </row>
    <row r="2" spans="1:8" x14ac:dyDescent="0.2">
      <c r="A2" s="2" t="s">
        <v>28</v>
      </c>
      <c r="B2" t="s">
        <v>322</v>
      </c>
      <c r="C2">
        <v>124</v>
      </c>
      <c r="D2">
        <v>0</v>
      </c>
      <c r="E2">
        <v>0</v>
      </c>
      <c r="F2">
        <v>1</v>
      </c>
      <c r="G2">
        <v>0</v>
      </c>
      <c r="H2">
        <v>0</v>
      </c>
    </row>
    <row r="3" spans="1:8" x14ac:dyDescent="0.2">
      <c r="A3" s="6" t="s">
        <v>34</v>
      </c>
      <c r="B3" t="s">
        <v>322</v>
      </c>
      <c r="C3">
        <v>357</v>
      </c>
      <c r="D3">
        <v>0</v>
      </c>
      <c r="E3">
        <v>0</v>
      </c>
      <c r="F3">
        <v>1</v>
      </c>
      <c r="G3">
        <v>0</v>
      </c>
      <c r="H3">
        <v>0</v>
      </c>
    </row>
    <row r="4" spans="1:8" x14ac:dyDescent="0.2">
      <c r="A4" s="2" t="s">
        <v>41</v>
      </c>
      <c r="B4" t="s">
        <v>322</v>
      </c>
      <c r="C4">
        <v>682</v>
      </c>
      <c r="D4">
        <v>0</v>
      </c>
      <c r="E4">
        <v>0</v>
      </c>
      <c r="F4">
        <v>1</v>
      </c>
      <c r="G4">
        <v>0</v>
      </c>
      <c r="H4">
        <v>0</v>
      </c>
    </row>
    <row r="5" spans="1:8" x14ac:dyDescent="0.2">
      <c r="A5" s="2" t="s">
        <v>47</v>
      </c>
      <c r="B5" t="s">
        <v>322</v>
      </c>
      <c r="C5">
        <v>901</v>
      </c>
      <c r="D5">
        <v>0</v>
      </c>
      <c r="E5">
        <v>0</v>
      </c>
      <c r="F5">
        <v>1</v>
      </c>
      <c r="G5">
        <v>0</v>
      </c>
      <c r="H5">
        <v>0</v>
      </c>
    </row>
    <row r="6" spans="1:8" x14ac:dyDescent="0.2">
      <c r="A6" s="2" t="s">
        <v>53</v>
      </c>
      <c r="B6" t="s">
        <v>322</v>
      </c>
      <c r="C6">
        <v>1247</v>
      </c>
      <c r="D6">
        <v>0</v>
      </c>
      <c r="E6">
        <v>0</v>
      </c>
      <c r="F6">
        <v>1</v>
      </c>
      <c r="G6">
        <v>0</v>
      </c>
      <c r="H6">
        <v>0</v>
      </c>
    </row>
    <row r="7" spans="1:8" x14ac:dyDescent="0.2">
      <c r="A7" s="2" t="s">
        <v>59</v>
      </c>
      <c r="B7" t="s">
        <v>323</v>
      </c>
      <c r="C7">
        <v>124</v>
      </c>
      <c r="D7">
        <v>0</v>
      </c>
      <c r="E7">
        <v>0</v>
      </c>
      <c r="F7">
        <v>1</v>
      </c>
      <c r="G7">
        <v>0</v>
      </c>
      <c r="H7">
        <v>0</v>
      </c>
    </row>
    <row r="8" spans="1:8" x14ac:dyDescent="0.2">
      <c r="A8" s="2" t="s">
        <v>63</v>
      </c>
      <c r="B8" t="s">
        <v>323</v>
      </c>
      <c r="C8">
        <v>357</v>
      </c>
      <c r="D8">
        <v>0</v>
      </c>
      <c r="E8">
        <v>0</v>
      </c>
      <c r="F8">
        <v>1</v>
      </c>
      <c r="G8">
        <v>0</v>
      </c>
      <c r="H8">
        <v>0</v>
      </c>
    </row>
    <row r="9" spans="1:8" x14ac:dyDescent="0.2">
      <c r="A9" s="2" t="s">
        <v>67</v>
      </c>
      <c r="B9" t="s">
        <v>323</v>
      </c>
      <c r="C9">
        <v>682</v>
      </c>
      <c r="D9">
        <v>0</v>
      </c>
      <c r="E9">
        <v>0</v>
      </c>
      <c r="F9">
        <v>1</v>
      </c>
      <c r="G9">
        <v>0</v>
      </c>
      <c r="H9">
        <v>0</v>
      </c>
    </row>
    <row r="10" spans="1:8" x14ac:dyDescent="0.2">
      <c r="A10" s="2" t="s">
        <v>71</v>
      </c>
      <c r="B10" t="s">
        <v>323</v>
      </c>
      <c r="C10">
        <v>901</v>
      </c>
      <c r="D10">
        <v>0</v>
      </c>
      <c r="E10">
        <v>0</v>
      </c>
      <c r="F10">
        <v>1</v>
      </c>
      <c r="G10">
        <v>0</v>
      </c>
      <c r="H10">
        <v>1</v>
      </c>
    </row>
    <row r="11" spans="1:8" x14ac:dyDescent="0.2">
      <c r="A11" s="2" t="s">
        <v>75</v>
      </c>
      <c r="B11" t="s">
        <v>323</v>
      </c>
      <c r="C11">
        <v>1247</v>
      </c>
      <c r="D11">
        <v>0</v>
      </c>
      <c r="E11">
        <v>0</v>
      </c>
      <c r="F11">
        <v>1</v>
      </c>
      <c r="G11">
        <v>0</v>
      </c>
      <c r="H11">
        <v>1</v>
      </c>
    </row>
    <row r="12" spans="1:8" x14ac:dyDescent="0.2">
      <c r="A12" s="2" t="s">
        <v>81</v>
      </c>
      <c r="B12" t="s">
        <v>324</v>
      </c>
      <c r="C12">
        <v>124</v>
      </c>
      <c r="D12">
        <v>0</v>
      </c>
      <c r="E12">
        <v>0</v>
      </c>
      <c r="F12">
        <v>1</v>
      </c>
      <c r="G12">
        <v>0</v>
      </c>
      <c r="H12">
        <v>1</v>
      </c>
    </row>
    <row r="13" spans="1:8" x14ac:dyDescent="0.2">
      <c r="A13" s="2" t="s">
        <v>86</v>
      </c>
      <c r="B13" t="s">
        <v>324</v>
      </c>
      <c r="C13">
        <v>357</v>
      </c>
      <c r="D13">
        <v>0</v>
      </c>
      <c r="E13">
        <v>0</v>
      </c>
      <c r="F13">
        <v>1</v>
      </c>
      <c r="G13">
        <v>0</v>
      </c>
      <c r="H13">
        <v>0</v>
      </c>
    </row>
    <row r="14" spans="1:8" x14ac:dyDescent="0.2">
      <c r="A14" s="2" t="s">
        <v>90</v>
      </c>
      <c r="B14" t="s">
        <v>324</v>
      </c>
      <c r="C14">
        <v>682</v>
      </c>
      <c r="D14">
        <v>0</v>
      </c>
      <c r="E14">
        <v>0</v>
      </c>
      <c r="F14">
        <v>0</v>
      </c>
      <c r="G14">
        <v>0</v>
      </c>
      <c r="H14">
        <v>0</v>
      </c>
    </row>
    <row r="15" spans="1:8" x14ac:dyDescent="0.2">
      <c r="A15" s="2" t="s">
        <v>94</v>
      </c>
      <c r="B15" t="s">
        <v>324</v>
      </c>
      <c r="C15">
        <v>901</v>
      </c>
      <c r="D15">
        <v>0</v>
      </c>
      <c r="E15">
        <v>0</v>
      </c>
      <c r="F15">
        <v>0</v>
      </c>
      <c r="G15">
        <v>0</v>
      </c>
      <c r="H15">
        <v>0</v>
      </c>
    </row>
    <row r="16" spans="1:8" x14ac:dyDescent="0.2">
      <c r="A16" s="2" t="s">
        <v>97</v>
      </c>
      <c r="B16" t="s">
        <v>324</v>
      </c>
      <c r="C16">
        <v>1247</v>
      </c>
      <c r="D16">
        <v>0</v>
      </c>
      <c r="E16">
        <v>0</v>
      </c>
      <c r="F16">
        <v>1</v>
      </c>
      <c r="G16">
        <v>0</v>
      </c>
      <c r="H16">
        <v>1</v>
      </c>
    </row>
    <row r="17" spans="1:8" x14ac:dyDescent="0.2">
      <c r="A17" s="2" t="s">
        <v>125</v>
      </c>
      <c r="B17" t="s">
        <v>325</v>
      </c>
      <c r="C17">
        <v>124</v>
      </c>
      <c r="D17">
        <v>0</v>
      </c>
      <c r="E17">
        <v>0</v>
      </c>
      <c r="F17">
        <v>1</v>
      </c>
      <c r="G17">
        <v>0</v>
      </c>
      <c r="H17">
        <v>0</v>
      </c>
    </row>
    <row r="18" spans="1:8" x14ac:dyDescent="0.2">
      <c r="A18" s="2" t="s">
        <v>129</v>
      </c>
      <c r="B18" t="s">
        <v>325</v>
      </c>
      <c r="C18">
        <v>357</v>
      </c>
      <c r="D18">
        <v>0</v>
      </c>
      <c r="E18">
        <v>0</v>
      </c>
      <c r="F18">
        <v>1</v>
      </c>
      <c r="G18">
        <v>0</v>
      </c>
      <c r="H18">
        <v>0</v>
      </c>
    </row>
    <row r="19" spans="1:8" x14ac:dyDescent="0.2">
      <c r="A19" s="2" t="s">
        <v>103</v>
      </c>
      <c r="B19" t="s">
        <v>326</v>
      </c>
      <c r="C19">
        <v>124</v>
      </c>
      <c r="D19">
        <v>0</v>
      </c>
      <c r="E19">
        <v>0</v>
      </c>
      <c r="F19">
        <v>0</v>
      </c>
      <c r="G19">
        <v>0</v>
      </c>
      <c r="H19">
        <v>0</v>
      </c>
    </row>
    <row r="20" spans="1:8" x14ac:dyDescent="0.2">
      <c r="A20" s="2" t="s">
        <v>107</v>
      </c>
      <c r="B20" t="s">
        <v>326</v>
      </c>
      <c r="C20">
        <v>357</v>
      </c>
      <c r="D20">
        <v>0</v>
      </c>
      <c r="E20">
        <v>0</v>
      </c>
      <c r="F20">
        <v>1</v>
      </c>
      <c r="G20">
        <v>0</v>
      </c>
      <c r="H20">
        <v>0</v>
      </c>
    </row>
    <row r="21" spans="1:8" x14ac:dyDescent="0.2">
      <c r="A21" s="2" t="s">
        <v>111</v>
      </c>
      <c r="B21" t="s">
        <v>326</v>
      </c>
      <c r="C21">
        <v>682</v>
      </c>
      <c r="D21">
        <v>0</v>
      </c>
      <c r="E21">
        <v>0</v>
      </c>
      <c r="F21">
        <v>1</v>
      </c>
      <c r="G21">
        <v>0</v>
      </c>
      <c r="H21">
        <v>1</v>
      </c>
    </row>
    <row r="22" spans="1:8" x14ac:dyDescent="0.2">
      <c r="A22" s="2" t="s">
        <v>133</v>
      </c>
      <c r="B22" t="s">
        <v>325</v>
      </c>
      <c r="C22">
        <v>682</v>
      </c>
      <c r="D22">
        <v>0</v>
      </c>
      <c r="E22">
        <v>0</v>
      </c>
      <c r="F22">
        <v>1</v>
      </c>
      <c r="G22">
        <v>0</v>
      </c>
      <c r="H22">
        <v>0</v>
      </c>
    </row>
    <row r="23" spans="1:8" x14ac:dyDescent="0.2">
      <c r="A23" s="2" t="s">
        <v>115</v>
      </c>
      <c r="B23" t="s">
        <v>326</v>
      </c>
      <c r="C23">
        <v>901</v>
      </c>
      <c r="D23">
        <v>0</v>
      </c>
      <c r="E23">
        <v>0</v>
      </c>
      <c r="F23">
        <v>1</v>
      </c>
      <c r="G23">
        <v>0</v>
      </c>
      <c r="H23">
        <v>0</v>
      </c>
    </row>
    <row r="24" spans="1:8" x14ac:dyDescent="0.2">
      <c r="A24" s="2" t="s">
        <v>120</v>
      </c>
      <c r="B24" t="s">
        <v>326</v>
      </c>
      <c r="C24">
        <v>1247</v>
      </c>
      <c r="D24">
        <v>0</v>
      </c>
      <c r="E24">
        <v>0</v>
      </c>
      <c r="F24">
        <v>1</v>
      </c>
      <c r="G24">
        <v>0</v>
      </c>
      <c r="H24">
        <v>0</v>
      </c>
    </row>
    <row r="25" spans="1:8" x14ac:dyDescent="0.2">
      <c r="A25" s="2" t="s">
        <v>136</v>
      </c>
      <c r="B25" t="s">
        <v>325</v>
      </c>
      <c r="C25">
        <v>901</v>
      </c>
      <c r="D25">
        <v>0</v>
      </c>
      <c r="E25">
        <v>0</v>
      </c>
      <c r="F25">
        <v>1</v>
      </c>
      <c r="G25">
        <v>0</v>
      </c>
      <c r="H25">
        <v>0</v>
      </c>
    </row>
    <row r="26" spans="1:8" x14ac:dyDescent="0.2">
      <c r="A26" s="2" t="s">
        <v>139</v>
      </c>
      <c r="B26" t="s">
        <v>325</v>
      </c>
      <c r="C26">
        <v>1247</v>
      </c>
      <c r="D26">
        <v>0</v>
      </c>
      <c r="E26">
        <v>0</v>
      </c>
      <c r="F26">
        <v>0</v>
      </c>
      <c r="G26">
        <v>0</v>
      </c>
      <c r="H26">
        <v>0</v>
      </c>
    </row>
    <row r="27" spans="1:8" x14ac:dyDescent="0.2">
      <c r="A27" s="2" t="s">
        <v>154</v>
      </c>
      <c r="B27" t="s">
        <v>327</v>
      </c>
      <c r="C27">
        <v>124</v>
      </c>
      <c r="D27">
        <v>0</v>
      </c>
      <c r="E27">
        <v>0</v>
      </c>
      <c r="F27">
        <v>1</v>
      </c>
      <c r="G27">
        <v>0</v>
      </c>
      <c r="H27">
        <v>0</v>
      </c>
    </row>
    <row r="28" spans="1:8" x14ac:dyDescent="0.2">
      <c r="A28" s="2" t="s">
        <v>184</v>
      </c>
      <c r="B28" t="s">
        <v>328</v>
      </c>
      <c r="C28">
        <v>124</v>
      </c>
      <c r="D28">
        <v>0</v>
      </c>
      <c r="E28">
        <v>1</v>
      </c>
      <c r="F28">
        <v>2</v>
      </c>
      <c r="G28">
        <v>0</v>
      </c>
      <c r="H28">
        <v>2</v>
      </c>
    </row>
    <row r="29" spans="1:8" x14ac:dyDescent="0.2">
      <c r="A29" s="2" t="s">
        <v>186</v>
      </c>
      <c r="B29" t="s">
        <v>328</v>
      </c>
      <c r="C29">
        <v>357</v>
      </c>
      <c r="D29">
        <v>0</v>
      </c>
      <c r="E29">
        <v>0</v>
      </c>
      <c r="F29">
        <v>1</v>
      </c>
      <c r="G29">
        <v>0</v>
      </c>
      <c r="H29">
        <v>0</v>
      </c>
    </row>
    <row r="30" spans="1:8" x14ac:dyDescent="0.2">
      <c r="A30" s="2" t="s">
        <v>158</v>
      </c>
      <c r="B30" t="s">
        <v>327</v>
      </c>
      <c r="C30">
        <v>357</v>
      </c>
      <c r="D30">
        <v>0</v>
      </c>
      <c r="E30">
        <v>0</v>
      </c>
      <c r="F30">
        <v>1</v>
      </c>
      <c r="G30">
        <v>0</v>
      </c>
      <c r="H30">
        <v>0</v>
      </c>
    </row>
    <row r="31" spans="1:8" x14ac:dyDescent="0.2">
      <c r="A31" s="2" t="s">
        <v>188</v>
      </c>
      <c r="B31" t="s">
        <v>328</v>
      </c>
      <c r="C31">
        <v>682</v>
      </c>
      <c r="D31">
        <v>0</v>
      </c>
      <c r="E31">
        <v>2</v>
      </c>
      <c r="F31">
        <v>2</v>
      </c>
      <c r="G31">
        <v>0</v>
      </c>
      <c r="H31">
        <v>2</v>
      </c>
    </row>
    <row r="32" spans="1:8" x14ac:dyDescent="0.2">
      <c r="A32" s="2" t="s">
        <v>180</v>
      </c>
      <c r="B32" t="s">
        <v>328</v>
      </c>
      <c r="C32">
        <v>901</v>
      </c>
      <c r="D32">
        <v>0</v>
      </c>
      <c r="E32">
        <v>2</v>
      </c>
      <c r="F32">
        <v>2</v>
      </c>
      <c r="G32">
        <v>0</v>
      </c>
      <c r="H32">
        <v>1</v>
      </c>
    </row>
    <row r="33" spans="1:8" x14ac:dyDescent="0.2">
      <c r="A33" s="2" t="s">
        <v>144</v>
      </c>
      <c r="B33" t="s">
        <v>327</v>
      </c>
      <c r="C33">
        <v>682</v>
      </c>
      <c r="D33">
        <v>0</v>
      </c>
      <c r="E33">
        <v>0</v>
      </c>
      <c r="F33">
        <v>0</v>
      </c>
      <c r="G33">
        <v>0</v>
      </c>
      <c r="H33">
        <v>0</v>
      </c>
    </row>
    <row r="34" spans="1:8" x14ac:dyDescent="0.2">
      <c r="A34" s="2" t="s">
        <v>182</v>
      </c>
      <c r="B34" t="s">
        <v>328</v>
      </c>
      <c r="C34">
        <v>1247</v>
      </c>
      <c r="D34">
        <v>0</v>
      </c>
      <c r="E34">
        <v>0</v>
      </c>
      <c r="F34">
        <v>1</v>
      </c>
      <c r="G34">
        <v>0</v>
      </c>
      <c r="H34">
        <v>1</v>
      </c>
    </row>
    <row r="35" spans="1:8" x14ac:dyDescent="0.2">
      <c r="A35" s="2" t="s">
        <v>147</v>
      </c>
      <c r="B35" t="s">
        <v>327</v>
      </c>
      <c r="C35">
        <v>901</v>
      </c>
      <c r="D35">
        <v>0</v>
      </c>
      <c r="E35">
        <v>0</v>
      </c>
      <c r="F35">
        <v>1</v>
      </c>
      <c r="G35">
        <v>0</v>
      </c>
      <c r="H35">
        <v>0</v>
      </c>
    </row>
    <row r="36" spans="1:8" x14ac:dyDescent="0.2">
      <c r="A36" s="2" t="s">
        <v>150</v>
      </c>
      <c r="B36" t="s">
        <v>327</v>
      </c>
      <c r="C36">
        <v>1247</v>
      </c>
      <c r="D36">
        <v>0</v>
      </c>
      <c r="E36">
        <v>0</v>
      </c>
      <c r="F36">
        <v>1</v>
      </c>
      <c r="G36">
        <v>0</v>
      </c>
      <c r="H36">
        <v>0</v>
      </c>
    </row>
    <row r="37" spans="1:8" x14ac:dyDescent="0.2">
      <c r="A37" s="2" t="s">
        <v>163</v>
      </c>
      <c r="B37" t="s">
        <v>329</v>
      </c>
      <c r="C37">
        <v>124</v>
      </c>
      <c r="D37">
        <v>0</v>
      </c>
      <c r="E37">
        <v>0</v>
      </c>
      <c r="F37">
        <v>1</v>
      </c>
      <c r="G37">
        <v>0</v>
      </c>
      <c r="H37">
        <v>1</v>
      </c>
    </row>
    <row r="38" spans="1:8" x14ac:dyDescent="0.2">
      <c r="A38" s="2" t="s">
        <v>166</v>
      </c>
      <c r="B38" t="s">
        <v>329</v>
      </c>
      <c r="C38">
        <v>357</v>
      </c>
      <c r="D38">
        <v>0</v>
      </c>
      <c r="E38">
        <v>0</v>
      </c>
      <c r="F38">
        <v>1</v>
      </c>
      <c r="G38">
        <v>0</v>
      </c>
      <c r="H38">
        <v>0</v>
      </c>
    </row>
    <row r="39" spans="1:8" x14ac:dyDescent="0.2">
      <c r="A39" s="2" t="s">
        <v>169</v>
      </c>
      <c r="B39" t="s">
        <v>329</v>
      </c>
      <c r="C39">
        <v>682</v>
      </c>
      <c r="D39">
        <v>0</v>
      </c>
      <c r="E39">
        <v>0</v>
      </c>
      <c r="F39">
        <v>1</v>
      </c>
      <c r="G39">
        <v>0</v>
      </c>
      <c r="H39">
        <v>0</v>
      </c>
    </row>
    <row r="40" spans="1:8" x14ac:dyDescent="0.2">
      <c r="A40" s="2" t="s">
        <v>172</v>
      </c>
      <c r="B40" t="s">
        <v>329</v>
      </c>
      <c r="C40">
        <v>901</v>
      </c>
      <c r="D40">
        <v>0</v>
      </c>
      <c r="E40">
        <v>0</v>
      </c>
      <c r="F40">
        <v>1</v>
      </c>
      <c r="G40">
        <v>0</v>
      </c>
      <c r="H40">
        <v>0</v>
      </c>
    </row>
    <row r="41" spans="1:8" x14ac:dyDescent="0.2">
      <c r="A41" s="2" t="s">
        <v>176</v>
      </c>
      <c r="B41" t="s">
        <v>329</v>
      </c>
      <c r="C41">
        <v>1247</v>
      </c>
      <c r="D41">
        <v>0</v>
      </c>
      <c r="E41">
        <v>0</v>
      </c>
      <c r="F41">
        <v>1</v>
      </c>
      <c r="G41">
        <v>0</v>
      </c>
      <c r="H41">
        <v>0</v>
      </c>
    </row>
    <row r="42" spans="1:8" x14ac:dyDescent="0.2">
      <c r="A42" s="2" t="s">
        <v>206</v>
      </c>
      <c r="B42" t="s">
        <v>330</v>
      </c>
      <c r="C42">
        <v>124</v>
      </c>
      <c r="D42">
        <v>0</v>
      </c>
      <c r="E42">
        <v>3</v>
      </c>
      <c r="F42">
        <v>5</v>
      </c>
      <c r="G42">
        <v>3</v>
      </c>
      <c r="H42">
        <v>3</v>
      </c>
    </row>
    <row r="43" spans="1:8" x14ac:dyDescent="0.2">
      <c r="A43" s="2" t="s">
        <v>226</v>
      </c>
      <c r="B43" t="s">
        <v>331</v>
      </c>
      <c r="C43">
        <v>124</v>
      </c>
      <c r="D43">
        <v>0</v>
      </c>
      <c r="E43">
        <v>4</v>
      </c>
      <c r="F43">
        <v>5</v>
      </c>
      <c r="G43">
        <v>8</v>
      </c>
      <c r="H43">
        <v>4</v>
      </c>
    </row>
    <row r="44" spans="1:8" x14ac:dyDescent="0.2">
      <c r="A44" s="2" t="s">
        <v>210</v>
      </c>
      <c r="B44" t="s">
        <v>330</v>
      </c>
      <c r="C44">
        <v>357</v>
      </c>
      <c r="D44">
        <v>0</v>
      </c>
      <c r="E44">
        <v>1</v>
      </c>
      <c r="F44">
        <v>2</v>
      </c>
      <c r="G44">
        <v>0</v>
      </c>
      <c r="H44">
        <v>2</v>
      </c>
    </row>
    <row r="45" spans="1:8" x14ac:dyDescent="0.2">
      <c r="A45" s="2" t="s">
        <v>241</v>
      </c>
      <c r="B45" t="s">
        <v>332</v>
      </c>
      <c r="C45">
        <v>124</v>
      </c>
      <c r="D45">
        <v>0</v>
      </c>
      <c r="E45">
        <v>3</v>
      </c>
      <c r="F45">
        <v>4</v>
      </c>
      <c r="G45">
        <v>8</v>
      </c>
      <c r="H45">
        <v>2</v>
      </c>
    </row>
    <row r="46" spans="1:8" x14ac:dyDescent="0.2">
      <c r="A46" s="2" t="s">
        <v>231</v>
      </c>
      <c r="B46" t="s">
        <v>331</v>
      </c>
      <c r="C46">
        <v>357</v>
      </c>
      <c r="D46">
        <v>0</v>
      </c>
      <c r="E46">
        <v>4</v>
      </c>
      <c r="F46">
        <v>6</v>
      </c>
      <c r="G46">
        <v>8</v>
      </c>
      <c r="H46">
        <v>4</v>
      </c>
    </row>
    <row r="47" spans="1:8" x14ac:dyDescent="0.2">
      <c r="A47" s="2" t="s">
        <v>259</v>
      </c>
      <c r="B47" t="s">
        <v>333</v>
      </c>
      <c r="C47">
        <v>124</v>
      </c>
      <c r="D47">
        <v>0</v>
      </c>
      <c r="E47">
        <v>5</v>
      </c>
      <c r="F47">
        <v>8</v>
      </c>
      <c r="G47">
        <v>5</v>
      </c>
      <c r="H47">
        <v>5</v>
      </c>
    </row>
    <row r="48" spans="1:8" x14ac:dyDescent="0.2">
      <c r="A48" s="2" t="s">
        <v>193</v>
      </c>
      <c r="B48" t="s">
        <v>330</v>
      </c>
      <c r="C48">
        <v>682</v>
      </c>
      <c r="D48">
        <v>0</v>
      </c>
      <c r="E48">
        <v>3</v>
      </c>
      <c r="F48">
        <v>3</v>
      </c>
      <c r="G48">
        <v>3</v>
      </c>
      <c r="H48">
        <v>2</v>
      </c>
    </row>
    <row r="49" spans="1:8" x14ac:dyDescent="0.2">
      <c r="A49" s="2" t="s">
        <v>215</v>
      </c>
      <c r="B49" t="s">
        <v>331</v>
      </c>
      <c r="C49">
        <v>682</v>
      </c>
      <c r="D49">
        <v>1</v>
      </c>
      <c r="E49">
        <v>4</v>
      </c>
      <c r="F49">
        <v>8</v>
      </c>
      <c r="G49">
        <v>8</v>
      </c>
      <c r="H49">
        <v>5</v>
      </c>
    </row>
    <row r="50" spans="1:8" x14ac:dyDescent="0.2">
      <c r="A50" s="2" t="s">
        <v>262</v>
      </c>
      <c r="B50" t="s">
        <v>333</v>
      </c>
      <c r="C50">
        <v>357</v>
      </c>
      <c r="D50">
        <v>0</v>
      </c>
      <c r="E50">
        <v>4</v>
      </c>
      <c r="F50">
        <v>8</v>
      </c>
      <c r="G50">
        <v>8</v>
      </c>
      <c r="H50">
        <v>5</v>
      </c>
    </row>
    <row r="51" spans="1:8" x14ac:dyDescent="0.2">
      <c r="A51" s="2" t="s">
        <v>237</v>
      </c>
      <c r="B51" t="s">
        <v>332</v>
      </c>
      <c r="C51">
        <v>357</v>
      </c>
      <c r="D51">
        <v>0</v>
      </c>
      <c r="E51">
        <v>3</v>
      </c>
      <c r="F51">
        <v>3</v>
      </c>
      <c r="G51">
        <v>6</v>
      </c>
      <c r="H51">
        <v>2</v>
      </c>
    </row>
    <row r="52" spans="1:8" x14ac:dyDescent="0.2">
      <c r="A52" s="2" t="s">
        <v>197</v>
      </c>
      <c r="B52" t="s">
        <v>330</v>
      </c>
      <c r="C52">
        <v>901</v>
      </c>
      <c r="D52">
        <v>0</v>
      </c>
      <c r="E52">
        <v>2</v>
      </c>
      <c r="F52">
        <v>2</v>
      </c>
      <c r="G52">
        <v>0</v>
      </c>
      <c r="H52">
        <v>2</v>
      </c>
    </row>
    <row r="53" spans="1:8" x14ac:dyDescent="0.2">
      <c r="A53" s="2" t="s">
        <v>218</v>
      </c>
      <c r="B53" t="s">
        <v>331</v>
      </c>
      <c r="C53">
        <v>901</v>
      </c>
      <c r="D53">
        <v>0</v>
      </c>
      <c r="E53">
        <v>3</v>
      </c>
      <c r="F53">
        <v>5</v>
      </c>
      <c r="G53">
        <v>4</v>
      </c>
      <c r="H53">
        <v>3</v>
      </c>
    </row>
    <row r="54" spans="1:8" x14ac:dyDescent="0.2">
      <c r="A54" s="2" t="s">
        <v>202</v>
      </c>
      <c r="B54" t="s">
        <v>330</v>
      </c>
      <c r="C54">
        <v>1247</v>
      </c>
      <c r="D54">
        <v>1</v>
      </c>
      <c r="E54">
        <v>2</v>
      </c>
      <c r="F54">
        <v>5</v>
      </c>
      <c r="G54">
        <v>8</v>
      </c>
      <c r="H54">
        <v>3</v>
      </c>
    </row>
    <row r="55" spans="1:8" x14ac:dyDescent="0.2">
      <c r="A55" s="2" t="s">
        <v>267</v>
      </c>
      <c r="B55" t="s">
        <v>333</v>
      </c>
      <c r="C55">
        <v>682</v>
      </c>
      <c r="D55">
        <v>0</v>
      </c>
      <c r="E55">
        <v>5</v>
      </c>
      <c r="F55">
        <v>8</v>
      </c>
      <c r="G55">
        <v>8</v>
      </c>
      <c r="H55">
        <v>6</v>
      </c>
    </row>
    <row r="56" spans="1:8" x14ac:dyDescent="0.2">
      <c r="A56" s="2" t="s">
        <v>222</v>
      </c>
      <c r="B56" t="s">
        <v>331</v>
      </c>
      <c r="C56">
        <v>1247</v>
      </c>
      <c r="D56">
        <v>0</v>
      </c>
      <c r="E56">
        <v>3</v>
      </c>
      <c r="F56">
        <v>4</v>
      </c>
      <c r="G56">
        <v>8</v>
      </c>
      <c r="H56">
        <v>3</v>
      </c>
    </row>
    <row r="57" spans="1:8" x14ac:dyDescent="0.2">
      <c r="A57" s="2" t="s">
        <v>245</v>
      </c>
      <c r="B57" t="s">
        <v>332</v>
      </c>
      <c r="C57">
        <v>682</v>
      </c>
      <c r="D57">
        <v>0</v>
      </c>
      <c r="E57">
        <v>0</v>
      </c>
      <c r="F57">
        <v>1</v>
      </c>
      <c r="G57">
        <v>5</v>
      </c>
      <c r="H57">
        <v>1</v>
      </c>
    </row>
    <row r="58" spans="1:8" x14ac:dyDescent="0.2">
      <c r="A58" s="2" t="s">
        <v>270</v>
      </c>
      <c r="B58" t="s">
        <v>333</v>
      </c>
      <c r="C58">
        <v>901</v>
      </c>
      <c r="D58">
        <v>0</v>
      </c>
      <c r="E58">
        <v>0</v>
      </c>
      <c r="F58">
        <v>1</v>
      </c>
      <c r="G58">
        <v>0</v>
      </c>
      <c r="H58">
        <v>2</v>
      </c>
    </row>
    <row r="59" spans="1:8" x14ac:dyDescent="0.2">
      <c r="A59" s="2" t="s">
        <v>249</v>
      </c>
      <c r="B59" t="s">
        <v>332</v>
      </c>
      <c r="C59">
        <v>901</v>
      </c>
      <c r="D59">
        <v>0</v>
      </c>
      <c r="E59">
        <v>0</v>
      </c>
      <c r="F59">
        <v>0</v>
      </c>
      <c r="G59">
        <v>1</v>
      </c>
      <c r="H59">
        <v>1</v>
      </c>
    </row>
    <row r="60" spans="1:8" x14ac:dyDescent="0.2">
      <c r="A60" s="2" t="s">
        <v>275</v>
      </c>
      <c r="B60" t="s">
        <v>333</v>
      </c>
      <c r="C60">
        <v>1247</v>
      </c>
      <c r="D60">
        <v>0</v>
      </c>
      <c r="E60">
        <v>6</v>
      </c>
      <c r="F60">
        <v>8</v>
      </c>
      <c r="G60">
        <v>8</v>
      </c>
      <c r="H60">
        <v>6</v>
      </c>
    </row>
    <row r="61" spans="1:8" x14ac:dyDescent="0.2">
      <c r="A61" s="2" t="s">
        <v>252</v>
      </c>
      <c r="B61" t="s">
        <v>332</v>
      </c>
      <c r="C61">
        <v>1247</v>
      </c>
      <c r="D61">
        <v>0</v>
      </c>
      <c r="E61">
        <v>0</v>
      </c>
      <c r="F61">
        <v>0</v>
      </c>
      <c r="G61">
        <v>0</v>
      </c>
      <c r="H61">
        <v>1</v>
      </c>
    </row>
    <row r="62" spans="1:8" x14ac:dyDescent="0.2">
      <c r="A62" s="2" t="s">
        <v>287</v>
      </c>
      <c r="B62" t="s">
        <v>334</v>
      </c>
      <c r="C62">
        <v>124</v>
      </c>
      <c r="D62">
        <v>1</v>
      </c>
      <c r="E62">
        <v>3</v>
      </c>
      <c r="F62">
        <v>3</v>
      </c>
      <c r="G62">
        <v>8</v>
      </c>
      <c r="H62">
        <v>4</v>
      </c>
    </row>
    <row r="63" spans="1:8" x14ac:dyDescent="0.2">
      <c r="A63" s="2" t="s">
        <v>309</v>
      </c>
      <c r="B63" t="s">
        <v>335</v>
      </c>
      <c r="C63">
        <v>124</v>
      </c>
      <c r="D63">
        <v>0</v>
      </c>
      <c r="E63">
        <v>5</v>
      </c>
      <c r="F63">
        <v>8</v>
      </c>
      <c r="G63">
        <v>8</v>
      </c>
      <c r="H63">
        <v>6</v>
      </c>
    </row>
    <row r="64" spans="1:8" x14ac:dyDescent="0.2">
      <c r="A64" s="2" t="s">
        <v>290</v>
      </c>
      <c r="B64" t="s">
        <v>334</v>
      </c>
      <c r="C64">
        <v>357</v>
      </c>
      <c r="D64">
        <v>0</v>
      </c>
      <c r="E64">
        <v>7</v>
      </c>
      <c r="F64">
        <v>7</v>
      </c>
      <c r="G64">
        <v>8</v>
      </c>
      <c r="H64">
        <v>6</v>
      </c>
    </row>
    <row r="65" spans="1:8" x14ac:dyDescent="0.2">
      <c r="A65" s="2" t="s">
        <v>313</v>
      </c>
      <c r="B65" t="s">
        <v>335</v>
      </c>
      <c r="C65">
        <v>357</v>
      </c>
      <c r="D65">
        <v>0</v>
      </c>
      <c r="E65">
        <v>5</v>
      </c>
      <c r="F65">
        <v>5</v>
      </c>
      <c r="G65">
        <v>8</v>
      </c>
      <c r="H65">
        <v>5</v>
      </c>
    </row>
    <row r="66" spans="1:8" x14ac:dyDescent="0.2">
      <c r="A66" s="2" t="s">
        <v>293</v>
      </c>
      <c r="B66" t="s">
        <v>334</v>
      </c>
      <c r="C66">
        <v>682</v>
      </c>
      <c r="D66">
        <v>1</v>
      </c>
      <c r="E66">
        <v>8</v>
      </c>
      <c r="F66">
        <v>8</v>
      </c>
      <c r="G66">
        <v>8</v>
      </c>
      <c r="H66">
        <v>7</v>
      </c>
    </row>
    <row r="67" spans="1:8" x14ac:dyDescent="0.2">
      <c r="A67" s="2" t="s">
        <v>298</v>
      </c>
      <c r="B67" t="s">
        <v>335</v>
      </c>
      <c r="C67">
        <v>682</v>
      </c>
      <c r="D67">
        <v>1</v>
      </c>
      <c r="E67">
        <v>10</v>
      </c>
      <c r="F67">
        <v>10</v>
      </c>
      <c r="G67">
        <v>10</v>
      </c>
      <c r="H67">
        <v>10</v>
      </c>
    </row>
    <row r="68" spans="1:8" x14ac:dyDescent="0.2">
      <c r="A68" s="2" t="s">
        <v>281</v>
      </c>
      <c r="B68" t="s">
        <v>334</v>
      </c>
      <c r="C68">
        <v>901</v>
      </c>
      <c r="D68">
        <v>0</v>
      </c>
      <c r="E68">
        <v>5</v>
      </c>
      <c r="F68">
        <v>5</v>
      </c>
      <c r="G68">
        <v>8</v>
      </c>
      <c r="H68">
        <v>4</v>
      </c>
    </row>
    <row r="69" spans="1:8" x14ac:dyDescent="0.2">
      <c r="A69" s="2" t="s">
        <v>302</v>
      </c>
      <c r="B69" t="s">
        <v>335</v>
      </c>
      <c r="C69">
        <v>901</v>
      </c>
      <c r="D69">
        <v>1</v>
      </c>
      <c r="E69">
        <v>8</v>
      </c>
      <c r="F69">
        <v>3</v>
      </c>
      <c r="G69">
        <v>8</v>
      </c>
      <c r="H69">
        <v>4</v>
      </c>
    </row>
    <row r="70" spans="1:8" x14ac:dyDescent="0.2">
      <c r="A70" s="2" t="s">
        <v>284</v>
      </c>
      <c r="B70" t="s">
        <v>334</v>
      </c>
      <c r="C70">
        <v>1247</v>
      </c>
      <c r="D70">
        <v>1</v>
      </c>
      <c r="E70">
        <v>10</v>
      </c>
      <c r="F70">
        <v>10</v>
      </c>
      <c r="G70">
        <v>10</v>
      </c>
      <c r="H70">
        <v>10</v>
      </c>
    </row>
    <row r="71" spans="1:8" x14ac:dyDescent="0.2">
      <c r="A71" s="2" t="s">
        <v>306</v>
      </c>
      <c r="B71" t="s">
        <v>335</v>
      </c>
      <c r="C71">
        <v>1247</v>
      </c>
      <c r="D71">
        <v>0</v>
      </c>
      <c r="E71">
        <v>5</v>
      </c>
      <c r="F71">
        <v>6</v>
      </c>
      <c r="G71">
        <v>8</v>
      </c>
      <c r="H71">
        <v>4</v>
      </c>
    </row>
  </sheetData>
  <autoFilter ref="A1:H71" xr:uid="{2E4E8AB0-8E54-9443-BE7F-8DCA8EFA839B}">
    <sortState xmlns:xlrd2="http://schemas.microsoft.com/office/spreadsheetml/2017/richdata2" ref="A2:H71">
      <sortCondition ref="A1:A7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6019A-1862-4A48-88B5-B8F16C683FF2}">
  <dimension ref="A1:H71"/>
  <sheetViews>
    <sheetView zoomScale="107" workbookViewId="0">
      <selection activeCell="B26" sqref="B26"/>
    </sheetView>
  </sheetViews>
  <sheetFormatPr baseColWidth="10" defaultColWidth="8.83203125" defaultRowHeight="16" x14ac:dyDescent="0.2"/>
  <cols>
    <col min="1" max="1" width="36.33203125" bestFit="1" customWidth="1"/>
    <col min="2" max="2" width="15" bestFit="1" customWidth="1"/>
    <col min="3" max="3" width="7.33203125" bestFit="1" customWidth="1"/>
    <col min="4" max="8" width="15.83203125" customWidth="1"/>
  </cols>
  <sheetData>
    <row r="1" spans="1:8" ht="85" x14ac:dyDescent="0.2">
      <c r="A1" s="32" t="s">
        <v>314</v>
      </c>
      <c r="B1" s="14" t="s">
        <v>315</v>
      </c>
      <c r="C1" s="14" t="s">
        <v>316</v>
      </c>
      <c r="D1" s="14" t="s">
        <v>317</v>
      </c>
      <c r="E1" s="14" t="s">
        <v>318</v>
      </c>
      <c r="F1" s="14" t="s">
        <v>319</v>
      </c>
      <c r="G1" s="14" t="s">
        <v>320</v>
      </c>
      <c r="H1" s="14" t="s">
        <v>321</v>
      </c>
    </row>
    <row r="2" spans="1:8" x14ac:dyDescent="0.2">
      <c r="A2" s="11" t="s">
        <v>28</v>
      </c>
      <c r="B2" s="13" t="s">
        <v>322</v>
      </c>
      <c r="C2" s="13">
        <v>124</v>
      </c>
      <c r="D2" s="13">
        <v>0</v>
      </c>
      <c r="E2" s="13">
        <v>0</v>
      </c>
      <c r="F2" s="13">
        <v>0</v>
      </c>
      <c r="G2" s="13">
        <v>0</v>
      </c>
      <c r="H2" s="13">
        <v>1</v>
      </c>
    </row>
    <row r="3" spans="1:8" x14ac:dyDescent="0.2">
      <c r="A3" s="11" t="s">
        <v>34</v>
      </c>
      <c r="B3" s="13" t="s">
        <v>322</v>
      </c>
      <c r="C3" s="13">
        <v>357</v>
      </c>
      <c r="D3" s="13">
        <v>0</v>
      </c>
      <c r="E3" s="13">
        <v>0</v>
      </c>
      <c r="F3" s="13">
        <v>1</v>
      </c>
      <c r="G3" s="13">
        <v>0</v>
      </c>
      <c r="H3" s="13">
        <v>1</v>
      </c>
    </row>
    <row r="4" spans="1:8" x14ac:dyDescent="0.2">
      <c r="A4" s="11" t="s">
        <v>41</v>
      </c>
      <c r="B4" s="13" t="s">
        <v>322</v>
      </c>
      <c r="C4" s="13">
        <v>682</v>
      </c>
      <c r="D4" s="13">
        <v>0</v>
      </c>
      <c r="E4" s="13">
        <v>0</v>
      </c>
      <c r="F4" s="13">
        <v>1</v>
      </c>
      <c r="G4" s="13">
        <v>0</v>
      </c>
      <c r="H4" s="13">
        <v>1</v>
      </c>
    </row>
    <row r="5" spans="1:8" x14ac:dyDescent="0.2">
      <c r="A5" s="11" t="s">
        <v>47</v>
      </c>
      <c r="B5" s="13" t="s">
        <v>322</v>
      </c>
      <c r="C5" s="13">
        <v>901</v>
      </c>
      <c r="D5" s="13">
        <v>0</v>
      </c>
      <c r="E5" s="13">
        <v>0</v>
      </c>
      <c r="F5" s="13">
        <v>0</v>
      </c>
      <c r="G5" s="13">
        <v>0</v>
      </c>
      <c r="H5" s="13">
        <v>1</v>
      </c>
    </row>
    <row r="6" spans="1:8" x14ac:dyDescent="0.2">
      <c r="A6" s="11" t="s">
        <v>53</v>
      </c>
      <c r="B6" s="13" t="s">
        <v>322</v>
      </c>
      <c r="C6" s="13">
        <v>1247</v>
      </c>
      <c r="D6" s="13">
        <v>0</v>
      </c>
      <c r="E6" s="13">
        <v>0</v>
      </c>
      <c r="F6" s="13">
        <v>0</v>
      </c>
      <c r="G6" s="13">
        <v>0</v>
      </c>
      <c r="H6" s="13">
        <v>0</v>
      </c>
    </row>
    <row r="7" spans="1:8" x14ac:dyDescent="0.2">
      <c r="A7" s="11" t="s">
        <v>59</v>
      </c>
      <c r="B7" s="13" t="s">
        <v>323</v>
      </c>
      <c r="C7" s="13">
        <v>124</v>
      </c>
      <c r="D7" s="13">
        <v>0</v>
      </c>
      <c r="E7" s="13">
        <v>0</v>
      </c>
      <c r="F7" s="13">
        <v>1</v>
      </c>
      <c r="G7" s="13">
        <v>0</v>
      </c>
      <c r="H7" s="13">
        <v>1</v>
      </c>
    </row>
    <row r="8" spans="1:8" x14ac:dyDescent="0.2">
      <c r="A8" s="11" t="s">
        <v>63</v>
      </c>
      <c r="B8" s="13" t="s">
        <v>323</v>
      </c>
      <c r="C8" s="13">
        <v>357</v>
      </c>
      <c r="D8" s="13">
        <v>0</v>
      </c>
      <c r="E8" s="13">
        <v>0</v>
      </c>
      <c r="F8" s="13">
        <v>0</v>
      </c>
      <c r="G8" s="13">
        <v>0</v>
      </c>
      <c r="H8" s="13">
        <v>0</v>
      </c>
    </row>
    <row r="9" spans="1:8" x14ac:dyDescent="0.2">
      <c r="A9" s="11" t="s">
        <v>67</v>
      </c>
      <c r="B9" s="13" t="s">
        <v>323</v>
      </c>
      <c r="C9" s="13">
        <v>682</v>
      </c>
      <c r="D9" s="13">
        <v>0</v>
      </c>
      <c r="E9" s="13">
        <v>0</v>
      </c>
      <c r="F9" s="13">
        <v>0</v>
      </c>
      <c r="G9" s="13">
        <v>0</v>
      </c>
      <c r="H9" s="13">
        <v>0</v>
      </c>
    </row>
    <row r="10" spans="1:8" x14ac:dyDescent="0.2">
      <c r="A10" s="11" t="s">
        <v>71</v>
      </c>
      <c r="B10" s="13" t="s">
        <v>323</v>
      </c>
      <c r="C10" s="13">
        <v>901</v>
      </c>
      <c r="D10" s="13">
        <v>0</v>
      </c>
      <c r="E10" s="13">
        <v>0</v>
      </c>
      <c r="F10" s="13">
        <v>1</v>
      </c>
      <c r="G10" s="13">
        <v>0</v>
      </c>
      <c r="H10" s="13">
        <v>1</v>
      </c>
    </row>
    <row r="11" spans="1:8" x14ac:dyDescent="0.2">
      <c r="A11" s="11" t="s">
        <v>75</v>
      </c>
      <c r="B11" s="13" t="s">
        <v>323</v>
      </c>
      <c r="C11" s="13">
        <v>1247</v>
      </c>
      <c r="D11" s="13">
        <v>0</v>
      </c>
      <c r="E11" s="13">
        <v>0</v>
      </c>
      <c r="F11" s="13">
        <v>0</v>
      </c>
      <c r="G11" s="13">
        <v>0</v>
      </c>
      <c r="H11" s="13">
        <v>0</v>
      </c>
    </row>
    <row r="12" spans="1:8" x14ac:dyDescent="0.2">
      <c r="A12" s="11" t="s">
        <v>81</v>
      </c>
      <c r="B12" s="13" t="s">
        <v>324</v>
      </c>
      <c r="C12" s="13">
        <v>124</v>
      </c>
      <c r="D12" s="13">
        <v>0</v>
      </c>
      <c r="E12" s="13">
        <v>0</v>
      </c>
      <c r="F12" s="13">
        <v>1</v>
      </c>
      <c r="G12" s="13">
        <v>0</v>
      </c>
      <c r="H12" s="13">
        <v>1</v>
      </c>
    </row>
    <row r="13" spans="1:8" x14ac:dyDescent="0.2">
      <c r="A13" s="11" t="s">
        <v>86</v>
      </c>
      <c r="B13" s="13" t="s">
        <v>324</v>
      </c>
      <c r="C13" s="13">
        <v>357</v>
      </c>
      <c r="D13" s="13">
        <v>0</v>
      </c>
      <c r="E13" s="13">
        <v>0</v>
      </c>
      <c r="F13" s="13">
        <v>1</v>
      </c>
      <c r="G13" s="13">
        <v>0</v>
      </c>
      <c r="H13" s="13">
        <v>1</v>
      </c>
    </row>
    <row r="14" spans="1:8" x14ac:dyDescent="0.2">
      <c r="A14" s="11" t="s">
        <v>90</v>
      </c>
      <c r="B14" s="13" t="s">
        <v>324</v>
      </c>
      <c r="C14" s="13">
        <v>682</v>
      </c>
      <c r="D14" s="13">
        <v>0</v>
      </c>
      <c r="E14" s="13">
        <v>0</v>
      </c>
      <c r="F14" s="13">
        <v>0</v>
      </c>
      <c r="G14" s="13">
        <v>0</v>
      </c>
      <c r="H14" s="13">
        <v>0</v>
      </c>
    </row>
    <row r="15" spans="1:8" x14ac:dyDescent="0.2">
      <c r="A15" s="11" t="s">
        <v>94</v>
      </c>
      <c r="B15" s="13" t="s">
        <v>324</v>
      </c>
      <c r="C15" s="13">
        <v>901</v>
      </c>
      <c r="D15" s="13">
        <v>0</v>
      </c>
      <c r="E15" s="13">
        <v>0</v>
      </c>
      <c r="F15" s="13">
        <v>0</v>
      </c>
      <c r="G15" s="13">
        <v>0</v>
      </c>
      <c r="H15" s="13">
        <v>0</v>
      </c>
    </row>
    <row r="16" spans="1:8" x14ac:dyDescent="0.2">
      <c r="A16" s="11" t="s">
        <v>97</v>
      </c>
      <c r="B16" s="13" t="s">
        <v>324</v>
      </c>
      <c r="C16" s="13">
        <v>1247</v>
      </c>
      <c r="D16" s="13">
        <v>0</v>
      </c>
      <c r="E16" s="13">
        <v>0</v>
      </c>
      <c r="F16" s="13">
        <v>1</v>
      </c>
      <c r="G16" s="13">
        <v>0</v>
      </c>
      <c r="H16" s="13">
        <v>1</v>
      </c>
    </row>
    <row r="17" spans="1:8" x14ac:dyDescent="0.2">
      <c r="A17" s="11" t="s">
        <v>103</v>
      </c>
      <c r="B17" s="13" t="s">
        <v>326</v>
      </c>
      <c r="C17" s="13">
        <v>124</v>
      </c>
      <c r="D17" s="13">
        <v>0</v>
      </c>
      <c r="E17" s="13">
        <v>0</v>
      </c>
      <c r="F17" s="13">
        <v>0</v>
      </c>
      <c r="G17" s="13">
        <v>0</v>
      </c>
      <c r="H17" s="13">
        <v>0</v>
      </c>
    </row>
    <row r="18" spans="1:8" x14ac:dyDescent="0.2">
      <c r="A18" s="11" t="s">
        <v>107</v>
      </c>
      <c r="B18" s="13" t="s">
        <v>336</v>
      </c>
      <c r="C18" s="13">
        <v>357</v>
      </c>
      <c r="D18" s="13">
        <v>0</v>
      </c>
      <c r="E18" s="13">
        <v>0</v>
      </c>
      <c r="F18" s="13">
        <v>0</v>
      </c>
      <c r="G18" s="13">
        <v>0</v>
      </c>
      <c r="H18" s="13">
        <v>0</v>
      </c>
    </row>
    <row r="19" spans="1:8" x14ac:dyDescent="0.2">
      <c r="A19" s="11" t="s">
        <v>111</v>
      </c>
      <c r="B19" s="13" t="s">
        <v>336</v>
      </c>
      <c r="C19" s="13">
        <v>682</v>
      </c>
      <c r="D19" s="13">
        <v>0</v>
      </c>
      <c r="E19" s="13">
        <v>1</v>
      </c>
      <c r="F19" s="13">
        <v>2</v>
      </c>
      <c r="G19" s="13">
        <v>2</v>
      </c>
      <c r="H19" s="13">
        <v>2</v>
      </c>
    </row>
    <row r="20" spans="1:8" x14ac:dyDescent="0.2">
      <c r="A20" s="11" t="s">
        <v>115</v>
      </c>
      <c r="B20" s="13" t="s">
        <v>336</v>
      </c>
      <c r="C20" s="13">
        <v>901</v>
      </c>
      <c r="D20" s="13">
        <v>0</v>
      </c>
      <c r="E20" s="13">
        <v>0</v>
      </c>
      <c r="F20" s="13">
        <v>1</v>
      </c>
      <c r="G20" s="13">
        <v>0</v>
      </c>
      <c r="H20" s="13">
        <v>1</v>
      </c>
    </row>
    <row r="21" spans="1:8" x14ac:dyDescent="0.2">
      <c r="A21" s="11" t="s">
        <v>120</v>
      </c>
      <c r="B21" s="13" t="s">
        <v>336</v>
      </c>
      <c r="C21" s="13">
        <v>1247</v>
      </c>
      <c r="D21" s="13">
        <v>0</v>
      </c>
      <c r="E21" s="13">
        <v>0</v>
      </c>
      <c r="F21" s="13">
        <v>2</v>
      </c>
      <c r="G21" s="13">
        <v>1</v>
      </c>
      <c r="H21" s="13">
        <v>2</v>
      </c>
    </row>
    <row r="22" spans="1:8" x14ac:dyDescent="0.2">
      <c r="A22" s="11" t="s">
        <v>125</v>
      </c>
      <c r="B22" s="13" t="s">
        <v>325</v>
      </c>
      <c r="C22" s="13">
        <v>124</v>
      </c>
      <c r="D22" s="13">
        <v>0</v>
      </c>
      <c r="E22" s="13">
        <v>0</v>
      </c>
      <c r="F22" s="13">
        <v>1</v>
      </c>
      <c r="G22" s="13">
        <v>0</v>
      </c>
      <c r="H22" s="13">
        <v>1</v>
      </c>
    </row>
    <row r="23" spans="1:8" x14ac:dyDescent="0.2">
      <c r="A23" s="11" t="s">
        <v>129</v>
      </c>
      <c r="B23" s="13" t="s">
        <v>325</v>
      </c>
      <c r="C23" s="13">
        <v>357</v>
      </c>
      <c r="D23" s="13">
        <v>0</v>
      </c>
      <c r="E23" s="13">
        <v>0</v>
      </c>
      <c r="F23" s="13">
        <v>0</v>
      </c>
      <c r="G23" s="13">
        <v>0</v>
      </c>
      <c r="H23" s="13">
        <v>0</v>
      </c>
    </row>
    <row r="24" spans="1:8" x14ac:dyDescent="0.2">
      <c r="A24" s="11" t="s">
        <v>133</v>
      </c>
      <c r="B24" s="13" t="s">
        <v>325</v>
      </c>
      <c r="C24" s="13">
        <v>682</v>
      </c>
      <c r="D24" s="13">
        <v>0</v>
      </c>
      <c r="E24" s="13">
        <v>0</v>
      </c>
      <c r="F24" s="13">
        <v>1</v>
      </c>
      <c r="G24" s="13">
        <v>0</v>
      </c>
      <c r="H24" s="13">
        <v>1</v>
      </c>
    </row>
    <row r="25" spans="1:8" x14ac:dyDescent="0.2">
      <c r="A25" s="11" t="s">
        <v>136</v>
      </c>
      <c r="B25" s="13" t="s">
        <v>325</v>
      </c>
      <c r="C25" s="13">
        <v>901</v>
      </c>
      <c r="D25" s="13">
        <v>0</v>
      </c>
      <c r="E25" s="13">
        <v>0</v>
      </c>
      <c r="F25" s="13">
        <v>0</v>
      </c>
      <c r="G25" s="13">
        <v>0</v>
      </c>
      <c r="H25" s="13">
        <v>0</v>
      </c>
    </row>
    <row r="26" spans="1:8" x14ac:dyDescent="0.2">
      <c r="A26" s="11" t="s">
        <v>139</v>
      </c>
      <c r="B26" s="13" t="s">
        <v>325</v>
      </c>
      <c r="C26" s="13">
        <v>1247</v>
      </c>
      <c r="D26" s="13">
        <v>0</v>
      </c>
      <c r="E26" s="13">
        <v>0</v>
      </c>
      <c r="F26" s="13">
        <v>1</v>
      </c>
      <c r="G26" s="13">
        <v>0</v>
      </c>
      <c r="H26" s="13">
        <v>1</v>
      </c>
    </row>
    <row r="27" spans="1:8" x14ac:dyDescent="0.2">
      <c r="A27" s="11" t="s">
        <v>154</v>
      </c>
      <c r="B27" s="13" t="s">
        <v>327</v>
      </c>
      <c r="C27" s="13">
        <v>124</v>
      </c>
      <c r="D27" s="13">
        <v>0</v>
      </c>
      <c r="E27" s="13">
        <v>0</v>
      </c>
      <c r="F27" s="13">
        <v>1</v>
      </c>
      <c r="G27" s="13">
        <v>0</v>
      </c>
      <c r="H27" s="13">
        <v>1</v>
      </c>
    </row>
    <row r="28" spans="1:8" x14ac:dyDescent="0.2">
      <c r="A28" s="11" t="s">
        <v>158</v>
      </c>
      <c r="B28" s="13" t="s">
        <v>327</v>
      </c>
      <c r="C28" s="13">
        <v>357</v>
      </c>
      <c r="D28" s="13">
        <v>0</v>
      </c>
      <c r="E28" s="13">
        <v>0</v>
      </c>
      <c r="F28" s="13">
        <v>0</v>
      </c>
      <c r="G28" s="13">
        <v>0</v>
      </c>
      <c r="H28" s="13">
        <v>0</v>
      </c>
    </row>
    <row r="29" spans="1:8" x14ac:dyDescent="0.2">
      <c r="A29" s="11" t="s">
        <v>144</v>
      </c>
      <c r="B29" s="13" t="s">
        <v>327</v>
      </c>
      <c r="C29" s="13">
        <v>682</v>
      </c>
      <c r="D29" s="13">
        <v>0</v>
      </c>
      <c r="E29" s="13">
        <v>0</v>
      </c>
      <c r="F29" s="13">
        <v>1</v>
      </c>
      <c r="G29" s="13">
        <v>0</v>
      </c>
      <c r="H29" s="13">
        <v>1</v>
      </c>
    </row>
    <row r="30" spans="1:8" x14ac:dyDescent="0.2">
      <c r="A30" s="11" t="s">
        <v>147</v>
      </c>
      <c r="B30" s="13" t="s">
        <v>327</v>
      </c>
      <c r="C30" s="13">
        <v>901</v>
      </c>
      <c r="D30" s="13">
        <v>0</v>
      </c>
      <c r="E30" s="13">
        <v>0</v>
      </c>
      <c r="F30" s="13">
        <v>0</v>
      </c>
      <c r="G30" s="13">
        <v>0</v>
      </c>
      <c r="H30" s="13">
        <v>0</v>
      </c>
    </row>
    <row r="31" spans="1:8" x14ac:dyDescent="0.2">
      <c r="A31" s="11" t="s">
        <v>150</v>
      </c>
      <c r="B31" s="13" t="s">
        <v>327</v>
      </c>
      <c r="C31" s="13">
        <v>1247</v>
      </c>
      <c r="D31" s="13">
        <v>0</v>
      </c>
      <c r="E31" s="13">
        <v>0</v>
      </c>
      <c r="F31" s="13">
        <v>2</v>
      </c>
      <c r="G31" s="13">
        <v>0</v>
      </c>
      <c r="H31" s="13">
        <v>1</v>
      </c>
    </row>
    <row r="32" spans="1:8" x14ac:dyDescent="0.2">
      <c r="A32" s="11" t="s">
        <v>163</v>
      </c>
      <c r="B32" s="13" t="s">
        <v>329</v>
      </c>
      <c r="C32" s="13">
        <v>124</v>
      </c>
      <c r="D32" s="13">
        <v>0</v>
      </c>
      <c r="E32" s="13">
        <v>0</v>
      </c>
      <c r="F32" s="13">
        <v>1</v>
      </c>
      <c r="G32" s="13">
        <v>0</v>
      </c>
      <c r="H32" s="13">
        <v>1</v>
      </c>
    </row>
    <row r="33" spans="1:8" x14ac:dyDescent="0.2">
      <c r="A33" s="11" t="s">
        <v>166</v>
      </c>
      <c r="B33" s="13" t="s">
        <v>329</v>
      </c>
      <c r="C33" s="13">
        <v>357</v>
      </c>
      <c r="D33" s="13">
        <v>0</v>
      </c>
      <c r="E33" s="13">
        <v>0</v>
      </c>
      <c r="F33" s="13">
        <v>0</v>
      </c>
      <c r="G33" s="13">
        <v>0</v>
      </c>
      <c r="H33" s="13">
        <v>0</v>
      </c>
    </row>
    <row r="34" spans="1:8" x14ac:dyDescent="0.2">
      <c r="A34" s="11" t="s">
        <v>169</v>
      </c>
      <c r="B34" s="13" t="s">
        <v>329</v>
      </c>
      <c r="C34" s="13">
        <v>682</v>
      </c>
      <c r="D34" s="13">
        <v>0</v>
      </c>
      <c r="E34" s="13">
        <v>0</v>
      </c>
      <c r="F34" s="13">
        <v>1</v>
      </c>
      <c r="G34" s="13">
        <v>0</v>
      </c>
      <c r="H34" s="13">
        <v>1</v>
      </c>
    </row>
    <row r="35" spans="1:8" x14ac:dyDescent="0.2">
      <c r="A35" s="11" t="s">
        <v>172</v>
      </c>
      <c r="B35" s="13" t="s">
        <v>329</v>
      </c>
      <c r="C35" s="13">
        <v>901</v>
      </c>
      <c r="D35" s="13">
        <v>0</v>
      </c>
      <c r="E35" s="13">
        <v>0</v>
      </c>
      <c r="F35" s="13">
        <v>0</v>
      </c>
      <c r="G35" s="13">
        <v>0</v>
      </c>
      <c r="H35" s="13">
        <v>0</v>
      </c>
    </row>
    <row r="36" spans="1:8" x14ac:dyDescent="0.2">
      <c r="A36" s="11" t="s">
        <v>176</v>
      </c>
      <c r="B36" s="13" t="s">
        <v>329</v>
      </c>
      <c r="C36" s="13">
        <v>1247</v>
      </c>
      <c r="D36" s="13">
        <v>0</v>
      </c>
      <c r="E36" s="13">
        <v>0</v>
      </c>
      <c r="F36" s="13">
        <v>1</v>
      </c>
      <c r="G36" s="13">
        <v>0</v>
      </c>
      <c r="H36" s="13">
        <v>1</v>
      </c>
    </row>
    <row r="37" spans="1:8" x14ac:dyDescent="0.2">
      <c r="A37" s="11" t="s">
        <v>184</v>
      </c>
      <c r="B37" s="13" t="s">
        <v>328</v>
      </c>
      <c r="C37" s="13">
        <v>124</v>
      </c>
      <c r="D37" s="13">
        <v>0</v>
      </c>
      <c r="E37" s="13">
        <v>1</v>
      </c>
      <c r="F37" s="13">
        <v>3</v>
      </c>
      <c r="G37" s="13">
        <v>0</v>
      </c>
      <c r="H37" s="13">
        <v>3</v>
      </c>
    </row>
    <row r="38" spans="1:8" x14ac:dyDescent="0.2">
      <c r="A38" s="11" t="s">
        <v>186</v>
      </c>
      <c r="B38" s="13" t="s">
        <v>328</v>
      </c>
      <c r="C38" s="13">
        <v>357</v>
      </c>
      <c r="D38" s="13">
        <v>0</v>
      </c>
      <c r="E38" s="13">
        <v>0</v>
      </c>
      <c r="F38" s="13">
        <v>1</v>
      </c>
      <c r="G38" s="13">
        <v>0</v>
      </c>
      <c r="H38" s="13">
        <v>1</v>
      </c>
    </row>
    <row r="39" spans="1:8" x14ac:dyDescent="0.2">
      <c r="A39" s="11" t="s">
        <v>188</v>
      </c>
      <c r="B39" s="13" t="s">
        <v>328</v>
      </c>
      <c r="C39" s="13">
        <v>682</v>
      </c>
      <c r="D39" s="13">
        <v>0</v>
      </c>
      <c r="E39" s="13">
        <v>1</v>
      </c>
      <c r="F39" s="13">
        <v>3</v>
      </c>
      <c r="G39" s="13">
        <v>0</v>
      </c>
      <c r="H39" s="13">
        <v>3</v>
      </c>
    </row>
    <row r="40" spans="1:8" x14ac:dyDescent="0.2">
      <c r="A40" s="11" t="s">
        <v>180</v>
      </c>
      <c r="B40" s="13" t="s">
        <v>328</v>
      </c>
      <c r="C40" s="13">
        <v>901</v>
      </c>
      <c r="D40" s="13">
        <v>0</v>
      </c>
      <c r="E40" s="13">
        <v>1</v>
      </c>
      <c r="F40" s="13">
        <v>3</v>
      </c>
      <c r="G40" s="13">
        <v>0</v>
      </c>
      <c r="H40" s="13">
        <v>3</v>
      </c>
    </row>
    <row r="41" spans="1:8" x14ac:dyDescent="0.2">
      <c r="A41" s="11" t="s">
        <v>182</v>
      </c>
      <c r="B41" s="13" t="s">
        <v>328</v>
      </c>
      <c r="C41" s="13">
        <v>1247</v>
      </c>
      <c r="D41" s="13">
        <v>0</v>
      </c>
      <c r="E41" s="13">
        <v>0</v>
      </c>
      <c r="F41" s="13">
        <v>1</v>
      </c>
      <c r="G41" s="13">
        <v>0</v>
      </c>
      <c r="H41" s="13">
        <v>1</v>
      </c>
    </row>
    <row r="42" spans="1:8" x14ac:dyDescent="0.2">
      <c r="A42" s="11" t="s">
        <v>206</v>
      </c>
      <c r="B42" s="13" t="s">
        <v>330</v>
      </c>
      <c r="C42" s="13">
        <v>124</v>
      </c>
      <c r="D42" s="13">
        <v>0</v>
      </c>
      <c r="E42" s="13">
        <v>5</v>
      </c>
      <c r="F42" s="13">
        <v>5</v>
      </c>
      <c r="G42" s="13">
        <v>6</v>
      </c>
      <c r="H42" s="13">
        <v>6</v>
      </c>
    </row>
    <row r="43" spans="1:8" x14ac:dyDescent="0.2">
      <c r="A43" s="11" t="s">
        <v>210</v>
      </c>
      <c r="B43" s="13" t="s">
        <v>330</v>
      </c>
      <c r="C43" s="13">
        <v>357</v>
      </c>
      <c r="D43" s="13">
        <v>0</v>
      </c>
      <c r="E43" s="13">
        <v>0</v>
      </c>
      <c r="F43" s="13">
        <v>1</v>
      </c>
      <c r="G43" s="13">
        <v>0</v>
      </c>
      <c r="H43" s="13">
        <v>1</v>
      </c>
    </row>
    <row r="44" spans="1:8" x14ac:dyDescent="0.2">
      <c r="A44" s="11" t="s">
        <v>193</v>
      </c>
      <c r="B44" s="13" t="s">
        <v>330</v>
      </c>
      <c r="C44" s="13">
        <v>682</v>
      </c>
      <c r="D44" s="13">
        <v>0</v>
      </c>
      <c r="E44" s="13">
        <v>0</v>
      </c>
      <c r="F44" s="13">
        <v>1</v>
      </c>
      <c r="G44" s="13">
        <v>0</v>
      </c>
      <c r="H44" s="13">
        <v>1</v>
      </c>
    </row>
    <row r="45" spans="1:8" x14ac:dyDescent="0.2">
      <c r="A45" s="11" t="s">
        <v>197</v>
      </c>
      <c r="B45" s="13" t="s">
        <v>330</v>
      </c>
      <c r="C45" s="13">
        <v>901</v>
      </c>
      <c r="D45" s="13">
        <v>0</v>
      </c>
      <c r="E45" s="13">
        <v>5</v>
      </c>
      <c r="F45" s="13">
        <v>4</v>
      </c>
      <c r="G45" s="13">
        <v>1</v>
      </c>
      <c r="H45" s="13">
        <v>4</v>
      </c>
    </row>
    <row r="46" spans="1:8" x14ac:dyDescent="0.2">
      <c r="A46" s="11" t="s">
        <v>202</v>
      </c>
      <c r="B46" s="13" t="s">
        <v>330</v>
      </c>
      <c r="C46" s="13">
        <v>1247</v>
      </c>
      <c r="D46" s="13">
        <v>1</v>
      </c>
      <c r="E46" s="13">
        <v>5</v>
      </c>
      <c r="F46" s="13">
        <v>9</v>
      </c>
      <c r="G46" s="13">
        <v>8</v>
      </c>
      <c r="H46" s="13">
        <v>8</v>
      </c>
    </row>
    <row r="47" spans="1:8" x14ac:dyDescent="0.2">
      <c r="A47" s="11" t="s">
        <v>226</v>
      </c>
      <c r="B47" s="13" t="s">
        <v>331</v>
      </c>
      <c r="C47" s="13">
        <v>124</v>
      </c>
      <c r="D47" s="13">
        <v>0</v>
      </c>
      <c r="E47" s="13">
        <v>3</v>
      </c>
      <c r="F47" s="13">
        <v>5</v>
      </c>
      <c r="G47" s="13">
        <v>2</v>
      </c>
      <c r="H47" s="13">
        <v>4</v>
      </c>
    </row>
    <row r="48" spans="1:8" x14ac:dyDescent="0.2">
      <c r="A48" s="11" t="s">
        <v>231</v>
      </c>
      <c r="B48" s="13" t="s">
        <v>331</v>
      </c>
      <c r="C48" s="13">
        <v>357</v>
      </c>
      <c r="D48" s="13">
        <v>0</v>
      </c>
      <c r="E48" s="13">
        <v>4</v>
      </c>
      <c r="F48" s="13">
        <v>6</v>
      </c>
      <c r="G48" s="13">
        <v>4</v>
      </c>
      <c r="H48" s="13">
        <v>6</v>
      </c>
    </row>
    <row r="49" spans="1:8" x14ac:dyDescent="0.2">
      <c r="A49" s="11" t="s">
        <v>215</v>
      </c>
      <c r="B49" s="13" t="s">
        <v>331</v>
      </c>
      <c r="C49" s="13">
        <v>682</v>
      </c>
      <c r="D49" s="13">
        <v>1</v>
      </c>
      <c r="E49" s="13">
        <v>6</v>
      </c>
      <c r="F49" s="13">
        <v>7</v>
      </c>
      <c r="G49" s="13">
        <v>9</v>
      </c>
      <c r="H49" s="13">
        <v>8</v>
      </c>
    </row>
    <row r="50" spans="1:8" x14ac:dyDescent="0.2">
      <c r="A50" s="11" t="s">
        <v>218</v>
      </c>
      <c r="B50" s="13" t="s">
        <v>331</v>
      </c>
      <c r="C50" s="13">
        <v>901</v>
      </c>
      <c r="D50" s="13">
        <v>0</v>
      </c>
      <c r="E50" s="13">
        <v>5</v>
      </c>
      <c r="F50" s="13">
        <v>6</v>
      </c>
      <c r="G50" s="13">
        <v>4</v>
      </c>
      <c r="H50" s="13">
        <v>5</v>
      </c>
    </row>
    <row r="51" spans="1:8" x14ac:dyDescent="0.2">
      <c r="A51" s="11" t="s">
        <v>222</v>
      </c>
      <c r="B51" s="13" t="s">
        <v>331</v>
      </c>
      <c r="C51" s="13">
        <v>1247</v>
      </c>
      <c r="D51" s="13">
        <v>0</v>
      </c>
      <c r="E51" s="13">
        <v>2</v>
      </c>
      <c r="F51" s="13">
        <v>3</v>
      </c>
      <c r="G51" s="13">
        <v>0</v>
      </c>
      <c r="H51" s="13">
        <v>3</v>
      </c>
    </row>
    <row r="52" spans="1:8" x14ac:dyDescent="0.2">
      <c r="A52" s="11" t="s">
        <v>241</v>
      </c>
      <c r="B52" s="13" t="s">
        <v>332</v>
      </c>
      <c r="C52" s="13">
        <v>124</v>
      </c>
      <c r="D52" s="13">
        <v>0</v>
      </c>
      <c r="E52" s="13">
        <v>0</v>
      </c>
      <c r="F52" s="13">
        <v>2</v>
      </c>
      <c r="G52" s="13">
        <v>0</v>
      </c>
      <c r="H52" s="13">
        <v>1</v>
      </c>
    </row>
    <row r="53" spans="1:8" x14ac:dyDescent="0.2">
      <c r="A53" s="11" t="s">
        <v>237</v>
      </c>
      <c r="B53" s="13" t="s">
        <v>332</v>
      </c>
      <c r="C53" s="13">
        <v>357</v>
      </c>
      <c r="D53" s="13">
        <v>0</v>
      </c>
      <c r="E53" s="13">
        <v>0</v>
      </c>
      <c r="F53" s="13">
        <v>1</v>
      </c>
      <c r="G53" s="13">
        <v>0</v>
      </c>
      <c r="H53" s="13">
        <v>1</v>
      </c>
    </row>
    <row r="54" spans="1:8" x14ac:dyDescent="0.2">
      <c r="A54" s="11" t="s">
        <v>245</v>
      </c>
      <c r="B54" s="13" t="s">
        <v>332</v>
      </c>
      <c r="C54" s="13">
        <v>682</v>
      </c>
      <c r="D54" s="13">
        <v>0</v>
      </c>
      <c r="E54" s="13">
        <v>0</v>
      </c>
      <c r="F54" s="13">
        <v>1</v>
      </c>
      <c r="G54" s="13">
        <v>0</v>
      </c>
      <c r="H54" s="13">
        <v>1</v>
      </c>
    </row>
    <row r="55" spans="1:8" x14ac:dyDescent="0.2">
      <c r="A55" s="11" t="s">
        <v>249</v>
      </c>
      <c r="B55" s="13" t="s">
        <v>332</v>
      </c>
      <c r="C55" s="13">
        <v>901</v>
      </c>
      <c r="D55" s="13">
        <v>0</v>
      </c>
      <c r="E55" s="13">
        <v>0</v>
      </c>
      <c r="F55" s="13">
        <v>0</v>
      </c>
      <c r="G55" s="13">
        <v>0</v>
      </c>
      <c r="H55" s="13">
        <v>0</v>
      </c>
    </row>
    <row r="56" spans="1:8" x14ac:dyDescent="0.2">
      <c r="A56" s="11" t="s">
        <v>252</v>
      </c>
      <c r="B56" s="13" t="s">
        <v>332</v>
      </c>
      <c r="C56" s="13">
        <v>1247</v>
      </c>
      <c r="D56" s="13">
        <v>0</v>
      </c>
      <c r="E56" s="13">
        <v>0</v>
      </c>
      <c r="F56" s="13">
        <v>0</v>
      </c>
      <c r="G56" s="13">
        <v>0</v>
      </c>
      <c r="H56" s="13">
        <v>0</v>
      </c>
    </row>
    <row r="57" spans="1:8" x14ac:dyDescent="0.2">
      <c r="A57" s="11" t="s">
        <v>259</v>
      </c>
      <c r="B57" s="13" t="s">
        <v>333</v>
      </c>
      <c r="C57" s="13">
        <v>124</v>
      </c>
      <c r="D57" s="13">
        <v>0</v>
      </c>
      <c r="E57" s="13">
        <v>3</v>
      </c>
      <c r="F57" s="13">
        <v>3</v>
      </c>
      <c r="G57" s="13">
        <v>1</v>
      </c>
      <c r="H57" s="13">
        <v>3</v>
      </c>
    </row>
    <row r="58" spans="1:8" x14ac:dyDescent="0.2">
      <c r="A58" s="11" t="s">
        <v>262</v>
      </c>
      <c r="B58" s="13" t="s">
        <v>333</v>
      </c>
      <c r="C58" s="13">
        <v>357</v>
      </c>
      <c r="D58" s="13">
        <v>0</v>
      </c>
      <c r="E58" s="13">
        <v>6</v>
      </c>
      <c r="F58" s="13">
        <v>5</v>
      </c>
      <c r="G58" s="13">
        <v>7</v>
      </c>
      <c r="H58" s="13">
        <v>6</v>
      </c>
    </row>
    <row r="59" spans="1:8" x14ac:dyDescent="0.2">
      <c r="A59" s="11" t="s">
        <v>267</v>
      </c>
      <c r="B59" s="13" t="s">
        <v>333</v>
      </c>
      <c r="C59" s="13">
        <v>682</v>
      </c>
      <c r="D59" s="13">
        <v>0</v>
      </c>
      <c r="E59" s="13">
        <v>6</v>
      </c>
      <c r="F59" s="13">
        <v>5</v>
      </c>
      <c r="G59" s="13">
        <v>7</v>
      </c>
      <c r="H59" s="13">
        <v>6</v>
      </c>
    </row>
    <row r="60" spans="1:8" x14ac:dyDescent="0.2">
      <c r="A60" s="11" t="s">
        <v>270</v>
      </c>
      <c r="B60" s="13" t="s">
        <v>333</v>
      </c>
      <c r="C60" s="13">
        <v>901</v>
      </c>
      <c r="D60" s="13">
        <v>0</v>
      </c>
      <c r="E60" s="13">
        <v>0</v>
      </c>
      <c r="F60" s="13">
        <v>1</v>
      </c>
      <c r="G60" s="13">
        <v>0</v>
      </c>
      <c r="H60" s="13">
        <v>1</v>
      </c>
    </row>
    <row r="61" spans="1:8" x14ac:dyDescent="0.2">
      <c r="A61" s="11" t="s">
        <v>275</v>
      </c>
      <c r="B61" s="13" t="s">
        <v>333</v>
      </c>
      <c r="C61" s="13">
        <v>1247</v>
      </c>
      <c r="D61" s="13">
        <v>0</v>
      </c>
      <c r="E61" s="13">
        <v>4</v>
      </c>
      <c r="F61" s="13">
        <v>4</v>
      </c>
      <c r="G61" s="13">
        <v>5</v>
      </c>
      <c r="H61" s="13">
        <v>4</v>
      </c>
    </row>
    <row r="62" spans="1:8" x14ac:dyDescent="0.2">
      <c r="A62" s="11" t="s">
        <v>309</v>
      </c>
      <c r="B62" s="13" t="s">
        <v>335</v>
      </c>
      <c r="C62" s="13">
        <v>124</v>
      </c>
      <c r="D62" s="13">
        <v>0</v>
      </c>
      <c r="E62" s="13">
        <v>4</v>
      </c>
      <c r="F62" s="13">
        <v>5</v>
      </c>
      <c r="G62" s="13">
        <v>6</v>
      </c>
      <c r="H62" s="13">
        <v>5</v>
      </c>
    </row>
    <row r="63" spans="1:8" x14ac:dyDescent="0.2">
      <c r="A63" s="11" t="s">
        <v>313</v>
      </c>
      <c r="B63" s="13" t="s">
        <v>335</v>
      </c>
      <c r="C63" s="13">
        <v>357</v>
      </c>
      <c r="D63" s="13">
        <v>0</v>
      </c>
      <c r="E63" s="13">
        <v>3</v>
      </c>
      <c r="F63" s="13">
        <v>4</v>
      </c>
      <c r="G63" s="13">
        <v>2</v>
      </c>
      <c r="H63" s="13">
        <v>3</v>
      </c>
    </row>
    <row r="64" spans="1:8" x14ac:dyDescent="0.2">
      <c r="A64" s="11" t="s">
        <v>298</v>
      </c>
      <c r="B64" s="13" t="s">
        <v>335</v>
      </c>
      <c r="C64" s="13">
        <v>682</v>
      </c>
      <c r="D64" s="13">
        <v>1</v>
      </c>
      <c r="E64" s="13">
        <v>7</v>
      </c>
      <c r="F64" s="13">
        <v>9</v>
      </c>
      <c r="G64" s="13">
        <v>9</v>
      </c>
      <c r="H64" s="13">
        <v>8</v>
      </c>
    </row>
    <row r="65" spans="1:8" x14ac:dyDescent="0.2">
      <c r="A65" s="11" t="s">
        <v>302</v>
      </c>
      <c r="B65" s="13" t="s">
        <v>335</v>
      </c>
      <c r="C65" s="13">
        <v>901</v>
      </c>
      <c r="D65" s="13">
        <v>1</v>
      </c>
      <c r="E65" s="13">
        <v>4</v>
      </c>
      <c r="F65" s="13">
        <v>7</v>
      </c>
      <c r="G65" s="13">
        <v>6</v>
      </c>
      <c r="H65" s="13">
        <v>7</v>
      </c>
    </row>
    <row r="66" spans="1:8" x14ac:dyDescent="0.2">
      <c r="A66" s="11" t="s">
        <v>306</v>
      </c>
      <c r="B66" s="13" t="s">
        <v>335</v>
      </c>
      <c r="C66" s="13">
        <v>1247</v>
      </c>
      <c r="D66" s="13">
        <v>0</v>
      </c>
      <c r="E66" s="13">
        <v>4</v>
      </c>
      <c r="F66" s="13">
        <v>6</v>
      </c>
      <c r="G66" s="13">
        <v>7</v>
      </c>
      <c r="H66" s="13">
        <v>6</v>
      </c>
    </row>
    <row r="67" spans="1:8" x14ac:dyDescent="0.2">
      <c r="A67" s="11" t="s">
        <v>287</v>
      </c>
      <c r="B67" s="13" t="s">
        <v>337</v>
      </c>
      <c r="C67" s="13">
        <v>124</v>
      </c>
      <c r="D67" s="13">
        <v>1</v>
      </c>
      <c r="E67" s="13">
        <v>3</v>
      </c>
      <c r="F67" s="13">
        <v>5</v>
      </c>
      <c r="G67" s="13">
        <v>4</v>
      </c>
      <c r="H67" s="13">
        <v>5</v>
      </c>
    </row>
    <row r="68" spans="1:8" x14ac:dyDescent="0.2">
      <c r="A68" s="11" t="s">
        <v>290</v>
      </c>
      <c r="B68" s="13" t="s">
        <v>337</v>
      </c>
      <c r="C68" s="13">
        <v>357</v>
      </c>
      <c r="D68" s="13">
        <v>0</v>
      </c>
      <c r="E68" s="13">
        <v>6</v>
      </c>
      <c r="F68" s="13">
        <v>8</v>
      </c>
      <c r="G68" s="13">
        <v>7</v>
      </c>
      <c r="H68" s="13">
        <v>7</v>
      </c>
    </row>
    <row r="69" spans="1:8" x14ac:dyDescent="0.2">
      <c r="A69" s="11" t="s">
        <v>293</v>
      </c>
      <c r="B69" s="13" t="s">
        <v>337</v>
      </c>
      <c r="C69" s="13">
        <v>682</v>
      </c>
      <c r="D69" s="13">
        <v>1</v>
      </c>
      <c r="E69" s="13">
        <v>7</v>
      </c>
      <c r="F69" s="13">
        <v>9</v>
      </c>
      <c r="G69" s="13">
        <v>9</v>
      </c>
      <c r="H69" s="13">
        <v>8</v>
      </c>
    </row>
    <row r="70" spans="1:8" x14ac:dyDescent="0.2">
      <c r="A70" s="11" t="s">
        <v>281</v>
      </c>
      <c r="B70" s="13" t="s">
        <v>337</v>
      </c>
      <c r="C70" s="13">
        <v>901</v>
      </c>
      <c r="D70" s="13">
        <v>0</v>
      </c>
      <c r="E70" s="13">
        <v>0</v>
      </c>
      <c r="F70" s="13">
        <v>2</v>
      </c>
      <c r="G70" s="13">
        <v>0</v>
      </c>
      <c r="H70" s="13">
        <v>2</v>
      </c>
    </row>
    <row r="71" spans="1:8" x14ac:dyDescent="0.2">
      <c r="A71" s="11" t="s">
        <v>284</v>
      </c>
      <c r="B71" s="13" t="s">
        <v>337</v>
      </c>
      <c r="C71" s="13">
        <v>1247</v>
      </c>
      <c r="D71" s="13">
        <v>1</v>
      </c>
      <c r="E71" s="13">
        <v>5</v>
      </c>
      <c r="F71" s="13">
        <v>9</v>
      </c>
      <c r="G71" s="13">
        <v>8</v>
      </c>
      <c r="H71" s="13">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09A36-0181-6849-9B95-805D63A1CC5D}">
  <dimension ref="A1:H71"/>
  <sheetViews>
    <sheetView zoomScale="120" zoomScaleNormal="120" workbookViewId="0">
      <pane ySplit="1" topLeftCell="A2" activePane="bottomLeft" state="frozen"/>
      <selection activeCell="B26" sqref="B26"/>
      <selection pane="bottomLeft" activeCell="B26" sqref="B26"/>
    </sheetView>
  </sheetViews>
  <sheetFormatPr baseColWidth="10" defaultColWidth="11" defaultRowHeight="16" x14ac:dyDescent="0.2"/>
  <cols>
    <col min="1" max="1" width="36.33203125" bestFit="1" customWidth="1"/>
    <col min="4" max="8" width="15.83203125" customWidth="1"/>
  </cols>
  <sheetData>
    <row r="1" spans="1:8" ht="85" x14ac:dyDescent="0.2">
      <c r="A1" s="1" t="s">
        <v>314</v>
      </c>
      <c r="B1" s="1" t="s">
        <v>315</v>
      </c>
      <c r="C1" s="1" t="s">
        <v>316</v>
      </c>
      <c r="D1" s="4" t="s">
        <v>317</v>
      </c>
      <c r="E1" s="4" t="s">
        <v>318</v>
      </c>
      <c r="F1" s="4" t="s">
        <v>319</v>
      </c>
      <c r="G1" s="4" t="s">
        <v>320</v>
      </c>
      <c r="H1" s="4" t="s">
        <v>321</v>
      </c>
    </row>
    <row r="2" spans="1:8" x14ac:dyDescent="0.2">
      <c r="A2" s="2" t="s">
        <v>298</v>
      </c>
      <c r="B2" s="2" t="s">
        <v>335</v>
      </c>
      <c r="C2" s="2">
        <v>682</v>
      </c>
      <c r="D2">
        <v>1</v>
      </c>
      <c r="E2">
        <v>8</v>
      </c>
      <c r="F2">
        <v>9</v>
      </c>
      <c r="G2">
        <v>10</v>
      </c>
      <c r="H2">
        <v>9</v>
      </c>
    </row>
    <row r="3" spans="1:8" x14ac:dyDescent="0.2">
      <c r="A3" s="2" t="s">
        <v>293</v>
      </c>
      <c r="B3" s="2" t="s">
        <v>337</v>
      </c>
      <c r="C3" s="2">
        <v>682</v>
      </c>
      <c r="D3">
        <v>1</v>
      </c>
      <c r="E3">
        <v>10</v>
      </c>
      <c r="F3">
        <v>10</v>
      </c>
      <c r="G3">
        <v>10</v>
      </c>
      <c r="H3">
        <v>10</v>
      </c>
    </row>
    <row r="4" spans="1:8" x14ac:dyDescent="0.2">
      <c r="A4" s="2" t="s">
        <v>245</v>
      </c>
      <c r="B4" s="2" t="s">
        <v>332</v>
      </c>
      <c r="C4" s="2">
        <v>682</v>
      </c>
      <c r="D4">
        <v>0</v>
      </c>
      <c r="E4">
        <v>0</v>
      </c>
      <c r="F4">
        <v>1</v>
      </c>
      <c r="G4">
        <v>4</v>
      </c>
      <c r="H4">
        <v>0</v>
      </c>
    </row>
    <row r="5" spans="1:8" x14ac:dyDescent="0.2">
      <c r="A5" s="2" t="s">
        <v>267</v>
      </c>
      <c r="B5" s="2" t="s">
        <v>333</v>
      </c>
      <c r="C5" s="2">
        <v>682</v>
      </c>
      <c r="D5">
        <v>0</v>
      </c>
      <c r="E5">
        <v>10</v>
      </c>
      <c r="F5">
        <v>10</v>
      </c>
      <c r="G5">
        <v>9</v>
      </c>
      <c r="H5">
        <v>8</v>
      </c>
    </row>
    <row r="6" spans="1:8" x14ac:dyDescent="0.2">
      <c r="A6" s="2" t="s">
        <v>215</v>
      </c>
      <c r="B6" s="2" t="s">
        <v>331</v>
      </c>
      <c r="C6" s="2">
        <v>682</v>
      </c>
      <c r="D6">
        <v>1</v>
      </c>
      <c r="E6">
        <v>9</v>
      </c>
      <c r="F6">
        <v>7</v>
      </c>
      <c r="G6">
        <v>10</v>
      </c>
      <c r="H6">
        <v>8</v>
      </c>
    </row>
    <row r="7" spans="1:8" x14ac:dyDescent="0.2">
      <c r="A7" s="2" t="s">
        <v>193</v>
      </c>
      <c r="B7" s="2" t="s">
        <v>330</v>
      </c>
      <c r="C7" s="2">
        <v>682</v>
      </c>
      <c r="D7">
        <v>0</v>
      </c>
      <c r="E7">
        <v>0</v>
      </c>
      <c r="F7">
        <v>2</v>
      </c>
      <c r="G7">
        <v>0</v>
      </c>
      <c r="H7">
        <v>1</v>
      </c>
    </row>
    <row r="8" spans="1:8" x14ac:dyDescent="0.2">
      <c r="A8" s="2" t="s">
        <v>169</v>
      </c>
      <c r="B8" s="2" t="s">
        <v>329</v>
      </c>
      <c r="C8" s="2">
        <v>682</v>
      </c>
      <c r="D8">
        <v>0</v>
      </c>
      <c r="E8">
        <v>0</v>
      </c>
      <c r="F8">
        <v>2</v>
      </c>
      <c r="G8">
        <v>0</v>
      </c>
      <c r="H8">
        <v>1</v>
      </c>
    </row>
    <row r="9" spans="1:8" x14ac:dyDescent="0.2">
      <c r="A9" s="2" t="s">
        <v>144</v>
      </c>
      <c r="B9" s="2" t="s">
        <v>327</v>
      </c>
      <c r="C9" s="2">
        <v>682</v>
      </c>
      <c r="D9">
        <v>0</v>
      </c>
      <c r="E9">
        <v>0</v>
      </c>
      <c r="F9">
        <v>1</v>
      </c>
      <c r="G9">
        <v>0</v>
      </c>
      <c r="H9">
        <v>0</v>
      </c>
    </row>
    <row r="10" spans="1:8" x14ac:dyDescent="0.2">
      <c r="A10" s="2" t="s">
        <v>188</v>
      </c>
      <c r="B10" s="2" t="s">
        <v>328</v>
      </c>
      <c r="C10" s="2">
        <v>682</v>
      </c>
      <c r="D10">
        <v>0</v>
      </c>
      <c r="E10">
        <v>2</v>
      </c>
      <c r="F10">
        <v>4</v>
      </c>
      <c r="G10">
        <v>1</v>
      </c>
      <c r="H10">
        <v>2</v>
      </c>
    </row>
    <row r="11" spans="1:8" x14ac:dyDescent="0.2">
      <c r="A11" s="2" t="s">
        <v>125</v>
      </c>
      <c r="B11" s="2" t="s">
        <v>325</v>
      </c>
      <c r="C11" s="2">
        <v>124</v>
      </c>
      <c r="D11">
        <v>0</v>
      </c>
      <c r="E11">
        <v>0</v>
      </c>
      <c r="F11">
        <v>1</v>
      </c>
      <c r="G11">
        <v>0</v>
      </c>
      <c r="H11">
        <v>0</v>
      </c>
    </row>
    <row r="12" spans="1:8" x14ac:dyDescent="0.2">
      <c r="A12" s="2" t="s">
        <v>103</v>
      </c>
      <c r="B12" s="2" t="s">
        <v>326</v>
      </c>
      <c r="C12" s="2">
        <v>124</v>
      </c>
      <c r="D12">
        <v>0</v>
      </c>
      <c r="E12">
        <v>2</v>
      </c>
      <c r="F12">
        <v>1</v>
      </c>
      <c r="G12">
        <v>4</v>
      </c>
      <c r="H12">
        <v>1</v>
      </c>
    </row>
    <row r="13" spans="1:8" x14ac:dyDescent="0.2">
      <c r="A13" s="2" t="s">
        <v>81</v>
      </c>
      <c r="B13" s="2" t="s">
        <v>324</v>
      </c>
      <c r="C13" s="2">
        <v>124</v>
      </c>
      <c r="D13">
        <v>0</v>
      </c>
      <c r="E13">
        <v>0</v>
      </c>
      <c r="F13">
        <v>2</v>
      </c>
      <c r="G13">
        <v>0</v>
      </c>
      <c r="H13">
        <v>0</v>
      </c>
    </row>
    <row r="14" spans="1:8" x14ac:dyDescent="0.2">
      <c r="A14" s="2" t="s">
        <v>67</v>
      </c>
      <c r="B14" s="2" t="s">
        <v>323</v>
      </c>
      <c r="C14" s="2">
        <v>682</v>
      </c>
      <c r="D14">
        <v>0</v>
      </c>
      <c r="E14">
        <v>0</v>
      </c>
      <c r="F14">
        <v>1</v>
      </c>
      <c r="G14">
        <v>0</v>
      </c>
      <c r="H14">
        <v>0</v>
      </c>
    </row>
    <row r="15" spans="1:8" x14ac:dyDescent="0.2">
      <c r="A15" s="2" t="s">
        <v>28</v>
      </c>
      <c r="B15" s="2" t="s">
        <v>322</v>
      </c>
      <c r="C15" s="2">
        <v>124</v>
      </c>
      <c r="D15">
        <v>0</v>
      </c>
      <c r="E15">
        <v>0</v>
      </c>
      <c r="F15">
        <v>1</v>
      </c>
      <c r="G15">
        <v>0</v>
      </c>
      <c r="H15">
        <v>0</v>
      </c>
    </row>
    <row r="16" spans="1:8" x14ac:dyDescent="0.2">
      <c r="A16" s="2" t="s">
        <v>313</v>
      </c>
      <c r="B16" s="2" t="s">
        <v>335</v>
      </c>
      <c r="C16" s="2">
        <v>357</v>
      </c>
      <c r="D16">
        <v>0</v>
      </c>
      <c r="E16">
        <v>4</v>
      </c>
      <c r="F16">
        <v>5</v>
      </c>
      <c r="G16">
        <v>7</v>
      </c>
      <c r="H16">
        <v>4</v>
      </c>
    </row>
    <row r="17" spans="1:8" x14ac:dyDescent="0.2">
      <c r="A17" s="2" t="s">
        <v>290</v>
      </c>
      <c r="B17" s="2" t="s">
        <v>337</v>
      </c>
      <c r="C17" s="2">
        <v>357</v>
      </c>
      <c r="D17">
        <v>0</v>
      </c>
      <c r="E17">
        <v>7</v>
      </c>
      <c r="F17">
        <v>8</v>
      </c>
      <c r="G17">
        <v>8</v>
      </c>
      <c r="H17">
        <v>7</v>
      </c>
    </row>
    <row r="18" spans="1:8" x14ac:dyDescent="0.2">
      <c r="A18" s="2" t="s">
        <v>237</v>
      </c>
      <c r="B18" s="2" t="s">
        <v>332</v>
      </c>
      <c r="C18" s="2">
        <v>357</v>
      </c>
      <c r="D18">
        <v>0</v>
      </c>
      <c r="E18">
        <v>1</v>
      </c>
      <c r="F18">
        <v>3</v>
      </c>
      <c r="G18">
        <v>4</v>
      </c>
      <c r="H18">
        <v>2</v>
      </c>
    </row>
    <row r="19" spans="1:8" x14ac:dyDescent="0.2">
      <c r="A19" s="2" t="s">
        <v>262</v>
      </c>
      <c r="B19" s="2" t="s">
        <v>333</v>
      </c>
      <c r="C19" s="2">
        <v>357</v>
      </c>
      <c r="D19">
        <v>0</v>
      </c>
      <c r="E19">
        <v>7</v>
      </c>
      <c r="F19">
        <v>8</v>
      </c>
      <c r="G19">
        <v>8</v>
      </c>
      <c r="H19">
        <v>8</v>
      </c>
    </row>
    <row r="20" spans="1:8" x14ac:dyDescent="0.2">
      <c r="A20" s="2" t="s">
        <v>231</v>
      </c>
      <c r="B20" s="2" t="s">
        <v>331</v>
      </c>
      <c r="C20" s="2">
        <v>357</v>
      </c>
      <c r="D20">
        <v>0</v>
      </c>
      <c r="E20">
        <v>6</v>
      </c>
      <c r="F20">
        <v>7</v>
      </c>
      <c r="G20">
        <v>8</v>
      </c>
      <c r="H20">
        <v>6</v>
      </c>
    </row>
    <row r="21" spans="1:8" x14ac:dyDescent="0.2">
      <c r="A21" s="2" t="s">
        <v>210</v>
      </c>
      <c r="B21" s="2" t="s">
        <v>330</v>
      </c>
      <c r="C21" s="2">
        <v>357</v>
      </c>
      <c r="D21">
        <v>0</v>
      </c>
      <c r="E21">
        <v>0</v>
      </c>
      <c r="F21">
        <v>2</v>
      </c>
      <c r="G21">
        <v>0</v>
      </c>
      <c r="H21">
        <v>0</v>
      </c>
    </row>
    <row r="22" spans="1:8" x14ac:dyDescent="0.2">
      <c r="A22" s="2" t="s">
        <v>166</v>
      </c>
      <c r="B22" s="2" t="s">
        <v>329</v>
      </c>
      <c r="C22" s="2">
        <v>357</v>
      </c>
      <c r="D22">
        <v>0</v>
      </c>
      <c r="E22">
        <v>0</v>
      </c>
      <c r="F22">
        <v>2</v>
      </c>
      <c r="G22">
        <v>0</v>
      </c>
      <c r="H22">
        <v>0</v>
      </c>
    </row>
    <row r="23" spans="1:8" x14ac:dyDescent="0.2">
      <c r="A23" s="2" t="s">
        <v>158</v>
      </c>
      <c r="B23" s="2" t="s">
        <v>327</v>
      </c>
      <c r="C23" s="2">
        <v>357</v>
      </c>
      <c r="D23">
        <v>0</v>
      </c>
      <c r="E23">
        <v>0</v>
      </c>
      <c r="F23">
        <v>2</v>
      </c>
      <c r="G23">
        <v>0</v>
      </c>
      <c r="H23">
        <v>0</v>
      </c>
    </row>
    <row r="24" spans="1:8" x14ac:dyDescent="0.2">
      <c r="A24" s="2" t="s">
        <v>186</v>
      </c>
      <c r="B24" s="2" t="s">
        <v>328</v>
      </c>
      <c r="C24" s="2">
        <v>357</v>
      </c>
      <c r="D24">
        <v>0</v>
      </c>
      <c r="E24">
        <v>0</v>
      </c>
      <c r="F24">
        <v>2</v>
      </c>
      <c r="G24">
        <v>0</v>
      </c>
      <c r="H24">
        <v>0</v>
      </c>
    </row>
    <row r="25" spans="1:8" x14ac:dyDescent="0.2">
      <c r="A25" s="2" t="s">
        <v>120</v>
      </c>
      <c r="B25" s="2" t="s">
        <v>336</v>
      </c>
      <c r="C25" s="2">
        <v>1247</v>
      </c>
      <c r="D25">
        <v>0</v>
      </c>
      <c r="E25">
        <v>1</v>
      </c>
      <c r="F25">
        <v>2</v>
      </c>
      <c r="G25">
        <v>3</v>
      </c>
      <c r="H25">
        <v>0</v>
      </c>
    </row>
    <row r="26" spans="1:8" x14ac:dyDescent="0.2">
      <c r="A26" s="2" t="s">
        <v>139</v>
      </c>
      <c r="B26" s="2" t="s">
        <v>325</v>
      </c>
      <c r="C26" s="2">
        <v>1247</v>
      </c>
      <c r="D26">
        <v>0</v>
      </c>
      <c r="E26">
        <v>0</v>
      </c>
      <c r="F26">
        <v>1</v>
      </c>
      <c r="G26">
        <v>0</v>
      </c>
      <c r="H26">
        <v>0</v>
      </c>
    </row>
    <row r="27" spans="1:8" x14ac:dyDescent="0.2">
      <c r="A27" s="2" t="s">
        <v>97</v>
      </c>
      <c r="B27" s="2" t="s">
        <v>324</v>
      </c>
      <c r="C27" s="2">
        <v>1247</v>
      </c>
      <c r="D27">
        <v>0</v>
      </c>
      <c r="E27">
        <v>0</v>
      </c>
      <c r="F27">
        <v>1</v>
      </c>
      <c r="G27">
        <v>0</v>
      </c>
      <c r="H27">
        <v>0</v>
      </c>
    </row>
    <row r="28" spans="1:8" x14ac:dyDescent="0.2">
      <c r="A28" s="2" t="s">
        <v>63</v>
      </c>
      <c r="B28" s="2" t="s">
        <v>323</v>
      </c>
      <c r="C28" s="2">
        <v>357</v>
      </c>
      <c r="D28">
        <v>0</v>
      </c>
      <c r="E28">
        <v>0</v>
      </c>
      <c r="F28">
        <v>0</v>
      </c>
      <c r="G28">
        <v>0</v>
      </c>
      <c r="H28">
        <v>0</v>
      </c>
    </row>
    <row r="29" spans="1:8" x14ac:dyDescent="0.2">
      <c r="A29" s="2" t="s">
        <v>53</v>
      </c>
      <c r="B29" s="2" t="s">
        <v>322</v>
      </c>
      <c r="C29" s="2">
        <v>1247</v>
      </c>
      <c r="D29">
        <v>0</v>
      </c>
      <c r="E29">
        <v>0</v>
      </c>
      <c r="F29">
        <v>1</v>
      </c>
      <c r="G29">
        <v>0</v>
      </c>
      <c r="H29">
        <v>0</v>
      </c>
    </row>
    <row r="30" spans="1:8" x14ac:dyDescent="0.2">
      <c r="A30" s="2" t="s">
        <v>302</v>
      </c>
      <c r="B30" s="2" t="s">
        <v>335</v>
      </c>
      <c r="C30" s="2">
        <v>901</v>
      </c>
      <c r="D30">
        <v>1</v>
      </c>
      <c r="E30">
        <v>5</v>
      </c>
      <c r="F30">
        <v>6</v>
      </c>
      <c r="G30">
        <v>8</v>
      </c>
      <c r="H30">
        <v>6</v>
      </c>
    </row>
    <row r="31" spans="1:8" x14ac:dyDescent="0.2">
      <c r="A31" s="2" t="s">
        <v>281</v>
      </c>
      <c r="B31" s="2" t="s">
        <v>337</v>
      </c>
      <c r="C31" s="2">
        <v>901</v>
      </c>
      <c r="D31">
        <v>0</v>
      </c>
      <c r="E31">
        <v>3</v>
      </c>
      <c r="F31">
        <v>1</v>
      </c>
      <c r="G31">
        <v>1</v>
      </c>
      <c r="H31">
        <v>1</v>
      </c>
    </row>
    <row r="32" spans="1:8" x14ac:dyDescent="0.2">
      <c r="A32" s="2" t="s">
        <v>249</v>
      </c>
      <c r="B32" s="2" t="s">
        <v>332</v>
      </c>
      <c r="C32" s="2">
        <v>901</v>
      </c>
      <c r="D32">
        <v>0</v>
      </c>
      <c r="E32">
        <v>0</v>
      </c>
      <c r="F32">
        <v>0</v>
      </c>
      <c r="G32">
        <v>0</v>
      </c>
      <c r="H32">
        <v>0</v>
      </c>
    </row>
    <row r="33" spans="1:8" x14ac:dyDescent="0.2">
      <c r="A33" s="2" t="s">
        <v>270</v>
      </c>
      <c r="B33" s="2" t="s">
        <v>333</v>
      </c>
      <c r="C33" s="2">
        <v>901</v>
      </c>
      <c r="D33">
        <v>0</v>
      </c>
      <c r="E33">
        <v>7</v>
      </c>
      <c r="F33">
        <v>8</v>
      </c>
      <c r="G33">
        <v>4</v>
      </c>
      <c r="H33">
        <v>5</v>
      </c>
    </row>
    <row r="34" spans="1:8" x14ac:dyDescent="0.2">
      <c r="A34" s="2" t="s">
        <v>218</v>
      </c>
      <c r="B34" s="2" t="s">
        <v>331</v>
      </c>
      <c r="C34" s="2">
        <v>901</v>
      </c>
      <c r="D34">
        <v>0</v>
      </c>
      <c r="E34">
        <v>6</v>
      </c>
      <c r="F34">
        <v>6</v>
      </c>
      <c r="G34">
        <v>5</v>
      </c>
      <c r="H34">
        <v>6</v>
      </c>
    </row>
    <row r="35" spans="1:8" x14ac:dyDescent="0.2">
      <c r="A35" s="2" t="s">
        <v>197</v>
      </c>
      <c r="B35" s="2" t="s">
        <v>330</v>
      </c>
      <c r="C35" s="2">
        <v>901</v>
      </c>
      <c r="D35">
        <v>0</v>
      </c>
      <c r="E35">
        <v>1</v>
      </c>
      <c r="F35">
        <v>5</v>
      </c>
      <c r="G35">
        <v>0</v>
      </c>
      <c r="H35">
        <v>2</v>
      </c>
    </row>
    <row r="36" spans="1:8" x14ac:dyDescent="0.2">
      <c r="A36" s="2" t="s">
        <v>172</v>
      </c>
      <c r="B36" s="2" t="s">
        <v>329</v>
      </c>
      <c r="C36" s="2">
        <v>901</v>
      </c>
      <c r="D36">
        <v>0</v>
      </c>
      <c r="E36">
        <v>0</v>
      </c>
      <c r="F36">
        <v>2</v>
      </c>
      <c r="G36">
        <v>0</v>
      </c>
      <c r="H36">
        <v>0</v>
      </c>
    </row>
    <row r="37" spans="1:8" x14ac:dyDescent="0.2">
      <c r="A37" s="2" t="s">
        <v>147</v>
      </c>
      <c r="B37" s="2" t="s">
        <v>327</v>
      </c>
      <c r="C37" s="2">
        <v>901</v>
      </c>
      <c r="D37">
        <v>0</v>
      </c>
      <c r="E37">
        <v>0</v>
      </c>
      <c r="F37">
        <v>2</v>
      </c>
      <c r="G37">
        <v>0</v>
      </c>
      <c r="H37">
        <v>0</v>
      </c>
    </row>
    <row r="38" spans="1:8" x14ac:dyDescent="0.2">
      <c r="A38" s="2" t="s">
        <v>180</v>
      </c>
      <c r="B38" s="2" t="s">
        <v>328</v>
      </c>
      <c r="C38" s="2">
        <v>901</v>
      </c>
      <c r="D38">
        <v>0</v>
      </c>
      <c r="E38">
        <v>2</v>
      </c>
      <c r="F38">
        <v>3</v>
      </c>
      <c r="G38">
        <v>1</v>
      </c>
      <c r="H38">
        <v>1</v>
      </c>
    </row>
    <row r="39" spans="1:8" x14ac:dyDescent="0.2">
      <c r="A39" s="2" t="s">
        <v>129</v>
      </c>
      <c r="B39" s="2" t="s">
        <v>325</v>
      </c>
      <c r="C39" s="2">
        <v>357</v>
      </c>
      <c r="D39">
        <v>0</v>
      </c>
      <c r="E39">
        <v>0</v>
      </c>
      <c r="F39">
        <v>3</v>
      </c>
      <c r="G39">
        <v>0</v>
      </c>
      <c r="H39">
        <v>0</v>
      </c>
    </row>
    <row r="40" spans="1:8" x14ac:dyDescent="0.2">
      <c r="A40" s="2" t="s">
        <v>107</v>
      </c>
      <c r="B40" s="2" t="s">
        <v>336</v>
      </c>
      <c r="C40" s="2">
        <v>357</v>
      </c>
      <c r="D40">
        <v>0</v>
      </c>
      <c r="E40">
        <v>0</v>
      </c>
      <c r="F40">
        <v>2</v>
      </c>
      <c r="G40">
        <v>0</v>
      </c>
      <c r="H40">
        <v>0</v>
      </c>
    </row>
    <row r="41" spans="1:8" x14ac:dyDescent="0.2">
      <c r="A41" s="2" t="s">
        <v>86</v>
      </c>
      <c r="B41" s="2" t="s">
        <v>324</v>
      </c>
      <c r="C41" s="2">
        <v>357</v>
      </c>
      <c r="D41">
        <v>0</v>
      </c>
      <c r="E41">
        <v>1</v>
      </c>
      <c r="F41">
        <v>3</v>
      </c>
      <c r="G41">
        <v>1</v>
      </c>
      <c r="H41">
        <v>1</v>
      </c>
    </row>
    <row r="42" spans="1:8" x14ac:dyDescent="0.2">
      <c r="A42" s="2" t="s">
        <v>71</v>
      </c>
      <c r="B42" s="2" t="s">
        <v>323</v>
      </c>
      <c r="C42" s="2">
        <v>901</v>
      </c>
      <c r="D42">
        <v>0</v>
      </c>
      <c r="E42">
        <v>2</v>
      </c>
      <c r="F42">
        <v>2</v>
      </c>
      <c r="G42">
        <v>1</v>
      </c>
      <c r="H42">
        <v>1</v>
      </c>
    </row>
    <row r="43" spans="1:8" x14ac:dyDescent="0.2">
      <c r="A43" s="2" t="s">
        <v>34</v>
      </c>
      <c r="B43" s="2" t="s">
        <v>322</v>
      </c>
      <c r="C43" s="2">
        <v>357</v>
      </c>
      <c r="D43">
        <v>0</v>
      </c>
      <c r="E43">
        <v>0</v>
      </c>
      <c r="F43">
        <v>1</v>
      </c>
      <c r="G43">
        <v>0</v>
      </c>
      <c r="H43">
        <v>0</v>
      </c>
    </row>
    <row r="44" spans="1:8" x14ac:dyDescent="0.2">
      <c r="A44" s="2" t="s">
        <v>306</v>
      </c>
      <c r="B44" s="2" t="s">
        <v>335</v>
      </c>
      <c r="C44" s="2">
        <v>1247</v>
      </c>
      <c r="D44">
        <v>0</v>
      </c>
      <c r="E44">
        <v>9</v>
      </c>
      <c r="F44">
        <v>9</v>
      </c>
      <c r="G44">
        <v>9</v>
      </c>
      <c r="H44">
        <v>7</v>
      </c>
    </row>
    <row r="45" spans="1:8" x14ac:dyDescent="0.2">
      <c r="A45" s="2" t="s">
        <v>284</v>
      </c>
      <c r="B45" s="2" t="s">
        <v>337</v>
      </c>
      <c r="C45" s="2">
        <v>1247</v>
      </c>
      <c r="D45">
        <v>1</v>
      </c>
      <c r="E45">
        <v>10</v>
      </c>
      <c r="F45">
        <v>10</v>
      </c>
      <c r="G45">
        <v>10</v>
      </c>
      <c r="H45">
        <v>10</v>
      </c>
    </row>
    <row r="46" spans="1:8" x14ac:dyDescent="0.2">
      <c r="A46" s="2" t="s">
        <v>252</v>
      </c>
      <c r="B46" s="2" t="s">
        <v>332</v>
      </c>
      <c r="C46" s="2">
        <v>1247</v>
      </c>
      <c r="D46">
        <v>0</v>
      </c>
      <c r="E46">
        <v>0</v>
      </c>
      <c r="F46">
        <v>0</v>
      </c>
      <c r="G46">
        <v>0</v>
      </c>
      <c r="H46">
        <v>0</v>
      </c>
    </row>
    <row r="47" spans="1:8" x14ac:dyDescent="0.2">
      <c r="A47" s="2" t="s">
        <v>275</v>
      </c>
      <c r="B47" s="2" t="s">
        <v>333</v>
      </c>
      <c r="C47" s="2">
        <v>1247</v>
      </c>
      <c r="D47">
        <v>0</v>
      </c>
      <c r="E47">
        <v>8</v>
      </c>
      <c r="F47">
        <v>10</v>
      </c>
      <c r="G47">
        <v>9</v>
      </c>
      <c r="H47">
        <v>8</v>
      </c>
    </row>
    <row r="48" spans="1:8" x14ac:dyDescent="0.2">
      <c r="A48" s="2" t="s">
        <v>222</v>
      </c>
      <c r="B48" s="2" t="s">
        <v>331</v>
      </c>
      <c r="C48" s="2">
        <v>1247</v>
      </c>
      <c r="D48">
        <v>0</v>
      </c>
      <c r="E48">
        <v>5</v>
      </c>
      <c r="F48">
        <v>5</v>
      </c>
      <c r="G48">
        <v>7</v>
      </c>
      <c r="H48">
        <v>6</v>
      </c>
    </row>
    <row r="49" spans="1:8" x14ac:dyDescent="0.2">
      <c r="A49" s="2" t="s">
        <v>202</v>
      </c>
      <c r="B49" s="2" t="s">
        <v>330</v>
      </c>
      <c r="C49" s="2">
        <v>1247</v>
      </c>
      <c r="D49">
        <v>1</v>
      </c>
      <c r="E49">
        <v>7</v>
      </c>
      <c r="F49">
        <v>6</v>
      </c>
      <c r="G49">
        <v>8</v>
      </c>
      <c r="H49">
        <v>7</v>
      </c>
    </row>
    <row r="50" spans="1:8" x14ac:dyDescent="0.2">
      <c r="A50" s="2" t="s">
        <v>176</v>
      </c>
      <c r="B50" s="2" t="s">
        <v>329</v>
      </c>
      <c r="C50" s="2">
        <v>1247</v>
      </c>
      <c r="D50">
        <v>0</v>
      </c>
      <c r="E50">
        <v>1</v>
      </c>
      <c r="F50">
        <v>1</v>
      </c>
      <c r="G50">
        <v>0</v>
      </c>
      <c r="H50">
        <v>1</v>
      </c>
    </row>
    <row r="51" spans="1:8" x14ac:dyDescent="0.2">
      <c r="A51" s="2" t="s">
        <v>150</v>
      </c>
      <c r="B51" s="2" t="s">
        <v>327</v>
      </c>
      <c r="C51" s="2">
        <v>1247</v>
      </c>
      <c r="D51">
        <v>0</v>
      </c>
      <c r="E51">
        <v>3</v>
      </c>
      <c r="F51">
        <v>2</v>
      </c>
      <c r="G51">
        <v>5</v>
      </c>
      <c r="H51">
        <v>2</v>
      </c>
    </row>
    <row r="52" spans="1:8" x14ac:dyDescent="0.2">
      <c r="A52" s="2" t="s">
        <v>182</v>
      </c>
      <c r="B52" s="2" t="s">
        <v>328</v>
      </c>
      <c r="C52" s="2">
        <v>1247</v>
      </c>
      <c r="D52">
        <v>0</v>
      </c>
      <c r="E52">
        <v>1</v>
      </c>
      <c r="F52">
        <v>3</v>
      </c>
      <c r="G52">
        <v>0</v>
      </c>
      <c r="H52">
        <v>1</v>
      </c>
    </row>
    <row r="53" spans="1:8" x14ac:dyDescent="0.2">
      <c r="A53" s="2" t="s">
        <v>133</v>
      </c>
      <c r="B53" s="2" t="s">
        <v>325</v>
      </c>
      <c r="C53" s="2">
        <v>682</v>
      </c>
      <c r="D53">
        <v>0</v>
      </c>
      <c r="E53">
        <v>0</v>
      </c>
      <c r="F53">
        <v>3</v>
      </c>
      <c r="G53">
        <v>1</v>
      </c>
      <c r="H53">
        <v>0</v>
      </c>
    </row>
    <row r="54" spans="1:8" x14ac:dyDescent="0.2">
      <c r="A54" s="2" t="s">
        <v>111</v>
      </c>
      <c r="B54" s="2" t="s">
        <v>336</v>
      </c>
      <c r="C54" s="2">
        <v>682</v>
      </c>
      <c r="D54">
        <v>0</v>
      </c>
      <c r="E54">
        <v>3</v>
      </c>
      <c r="F54">
        <v>4</v>
      </c>
      <c r="G54">
        <v>6</v>
      </c>
      <c r="H54">
        <v>3</v>
      </c>
    </row>
    <row r="55" spans="1:8" x14ac:dyDescent="0.2">
      <c r="A55" s="2" t="s">
        <v>90</v>
      </c>
      <c r="B55" s="2" t="s">
        <v>324</v>
      </c>
      <c r="C55" s="2">
        <v>682</v>
      </c>
      <c r="D55">
        <v>0</v>
      </c>
      <c r="E55">
        <v>0</v>
      </c>
      <c r="F55">
        <v>0</v>
      </c>
      <c r="G55">
        <v>0</v>
      </c>
      <c r="H55">
        <v>0</v>
      </c>
    </row>
    <row r="56" spans="1:8" x14ac:dyDescent="0.2">
      <c r="A56" s="2" t="s">
        <v>75</v>
      </c>
      <c r="B56" s="2" t="s">
        <v>323</v>
      </c>
      <c r="C56" s="2">
        <v>1247</v>
      </c>
      <c r="D56">
        <v>0</v>
      </c>
      <c r="E56">
        <v>0</v>
      </c>
      <c r="F56">
        <v>4</v>
      </c>
      <c r="G56">
        <v>0</v>
      </c>
      <c r="H56">
        <v>1</v>
      </c>
    </row>
    <row r="57" spans="1:8" x14ac:dyDescent="0.2">
      <c r="A57" s="2" t="s">
        <v>41</v>
      </c>
      <c r="B57" s="2" t="s">
        <v>322</v>
      </c>
      <c r="C57" s="2">
        <v>682</v>
      </c>
      <c r="D57">
        <v>0</v>
      </c>
      <c r="E57">
        <v>0</v>
      </c>
      <c r="F57">
        <v>2</v>
      </c>
      <c r="G57">
        <v>0</v>
      </c>
      <c r="H57">
        <v>0</v>
      </c>
    </row>
    <row r="58" spans="1:8" x14ac:dyDescent="0.2">
      <c r="A58" s="2" t="s">
        <v>309</v>
      </c>
      <c r="B58" s="2" t="s">
        <v>335</v>
      </c>
      <c r="C58" s="2">
        <v>124</v>
      </c>
      <c r="D58">
        <v>0</v>
      </c>
      <c r="E58">
        <v>3</v>
      </c>
      <c r="F58">
        <v>5</v>
      </c>
      <c r="G58">
        <v>7</v>
      </c>
      <c r="H58">
        <v>4</v>
      </c>
    </row>
    <row r="59" spans="1:8" x14ac:dyDescent="0.2">
      <c r="A59" s="2" t="s">
        <v>287</v>
      </c>
      <c r="B59" s="2" t="s">
        <v>337</v>
      </c>
      <c r="C59" s="2">
        <v>124</v>
      </c>
      <c r="D59">
        <v>0</v>
      </c>
      <c r="E59">
        <v>2</v>
      </c>
      <c r="F59">
        <v>3</v>
      </c>
      <c r="G59">
        <v>0</v>
      </c>
      <c r="H59">
        <v>1</v>
      </c>
    </row>
    <row r="60" spans="1:8" x14ac:dyDescent="0.2">
      <c r="A60" s="2" t="s">
        <v>259</v>
      </c>
      <c r="B60" s="2" t="s">
        <v>333</v>
      </c>
      <c r="C60" s="2">
        <v>124</v>
      </c>
      <c r="D60">
        <v>0</v>
      </c>
      <c r="E60">
        <v>5</v>
      </c>
      <c r="F60">
        <v>6</v>
      </c>
      <c r="G60">
        <v>7</v>
      </c>
      <c r="H60">
        <v>6</v>
      </c>
    </row>
    <row r="61" spans="1:8" x14ac:dyDescent="0.2">
      <c r="A61" s="2" t="s">
        <v>241</v>
      </c>
      <c r="B61" s="2" t="s">
        <v>332</v>
      </c>
      <c r="C61" s="2">
        <v>124</v>
      </c>
      <c r="D61">
        <v>0</v>
      </c>
      <c r="E61">
        <v>1</v>
      </c>
      <c r="F61">
        <v>3</v>
      </c>
      <c r="G61">
        <v>4</v>
      </c>
      <c r="H61">
        <v>1</v>
      </c>
    </row>
    <row r="62" spans="1:8" x14ac:dyDescent="0.2">
      <c r="A62" s="2" t="s">
        <v>226</v>
      </c>
      <c r="B62" s="2" t="s">
        <v>331</v>
      </c>
      <c r="C62" s="2">
        <v>124</v>
      </c>
      <c r="D62">
        <v>0</v>
      </c>
      <c r="E62">
        <v>4</v>
      </c>
      <c r="F62">
        <v>4</v>
      </c>
      <c r="G62">
        <v>8</v>
      </c>
      <c r="H62">
        <v>5</v>
      </c>
    </row>
    <row r="63" spans="1:8" x14ac:dyDescent="0.2">
      <c r="A63" s="2" t="s">
        <v>206</v>
      </c>
      <c r="B63" s="2" t="s">
        <v>330</v>
      </c>
      <c r="C63" s="2">
        <v>124</v>
      </c>
      <c r="D63">
        <v>0</v>
      </c>
      <c r="E63">
        <v>2</v>
      </c>
      <c r="F63">
        <v>3</v>
      </c>
      <c r="G63">
        <v>1</v>
      </c>
      <c r="H63">
        <v>1</v>
      </c>
    </row>
    <row r="64" spans="1:8" x14ac:dyDescent="0.2">
      <c r="A64" s="2" t="s">
        <v>163</v>
      </c>
      <c r="B64" s="2" t="s">
        <v>329</v>
      </c>
      <c r="C64" s="2">
        <v>124</v>
      </c>
      <c r="D64">
        <v>0</v>
      </c>
      <c r="E64">
        <v>0</v>
      </c>
      <c r="F64">
        <v>3</v>
      </c>
      <c r="G64">
        <v>0</v>
      </c>
      <c r="H64">
        <v>0</v>
      </c>
    </row>
    <row r="65" spans="1:8" x14ac:dyDescent="0.2">
      <c r="A65" s="2" t="s">
        <v>184</v>
      </c>
      <c r="B65" s="2" t="s">
        <v>328</v>
      </c>
      <c r="C65" s="2">
        <v>124</v>
      </c>
      <c r="D65">
        <v>0</v>
      </c>
      <c r="E65">
        <v>3</v>
      </c>
      <c r="F65">
        <v>2</v>
      </c>
      <c r="G65">
        <v>0</v>
      </c>
      <c r="H65">
        <v>1</v>
      </c>
    </row>
    <row r="66" spans="1:8" x14ac:dyDescent="0.2">
      <c r="A66" s="2" t="s">
        <v>154</v>
      </c>
      <c r="B66" s="2" t="s">
        <v>327</v>
      </c>
      <c r="C66" s="2">
        <v>124</v>
      </c>
      <c r="D66">
        <v>0</v>
      </c>
      <c r="E66">
        <v>0</v>
      </c>
      <c r="F66">
        <v>2</v>
      </c>
      <c r="G66">
        <v>0</v>
      </c>
      <c r="H66">
        <v>0</v>
      </c>
    </row>
    <row r="67" spans="1:8" x14ac:dyDescent="0.2">
      <c r="A67" s="2" t="s">
        <v>115</v>
      </c>
      <c r="B67" s="2" t="s">
        <v>336</v>
      </c>
      <c r="C67" s="2">
        <v>901</v>
      </c>
      <c r="D67">
        <v>0</v>
      </c>
      <c r="E67">
        <v>1</v>
      </c>
      <c r="F67">
        <v>2</v>
      </c>
      <c r="G67">
        <v>0</v>
      </c>
      <c r="H67">
        <v>0</v>
      </c>
    </row>
    <row r="68" spans="1:8" x14ac:dyDescent="0.2">
      <c r="A68" s="2" t="s">
        <v>136</v>
      </c>
      <c r="B68" s="2" t="s">
        <v>325</v>
      </c>
      <c r="C68" s="2">
        <v>901</v>
      </c>
      <c r="D68">
        <v>0</v>
      </c>
      <c r="E68">
        <v>0</v>
      </c>
      <c r="F68">
        <v>2</v>
      </c>
      <c r="G68">
        <v>0</v>
      </c>
      <c r="H68">
        <v>0</v>
      </c>
    </row>
    <row r="69" spans="1:8" x14ac:dyDescent="0.2">
      <c r="A69" s="2" t="s">
        <v>94</v>
      </c>
      <c r="B69" s="2" t="s">
        <v>324</v>
      </c>
      <c r="C69" s="2">
        <v>901</v>
      </c>
      <c r="D69">
        <v>0</v>
      </c>
      <c r="E69">
        <v>0</v>
      </c>
      <c r="F69">
        <v>0</v>
      </c>
      <c r="G69">
        <v>0</v>
      </c>
      <c r="H69">
        <v>0</v>
      </c>
    </row>
    <row r="70" spans="1:8" x14ac:dyDescent="0.2">
      <c r="A70" s="2" t="s">
        <v>59</v>
      </c>
      <c r="B70" s="2" t="s">
        <v>323</v>
      </c>
      <c r="C70" s="2">
        <v>124</v>
      </c>
      <c r="D70">
        <v>0</v>
      </c>
      <c r="E70">
        <v>0</v>
      </c>
      <c r="F70">
        <v>2</v>
      </c>
      <c r="G70">
        <v>0</v>
      </c>
      <c r="H70">
        <v>0</v>
      </c>
    </row>
    <row r="71" spans="1:8" x14ac:dyDescent="0.2">
      <c r="A71" s="2" t="s">
        <v>47</v>
      </c>
      <c r="B71" s="2" t="s">
        <v>322</v>
      </c>
      <c r="C71" s="2">
        <v>901</v>
      </c>
      <c r="D71">
        <v>0</v>
      </c>
      <c r="E71">
        <v>0</v>
      </c>
      <c r="F71">
        <v>2</v>
      </c>
      <c r="G71">
        <v>0</v>
      </c>
      <c r="H71">
        <v>0</v>
      </c>
    </row>
  </sheetData>
  <autoFilter ref="A1:A71" xr:uid="{D28C58CB-B927-344F-B0CB-9BE9F46BA158}"/>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C58CB-B927-344F-B0CB-9BE9F46BA158}">
  <dimension ref="A1:T78"/>
  <sheetViews>
    <sheetView zoomScale="67" zoomScaleNormal="100" workbookViewId="0">
      <selection activeCell="A66" sqref="A66"/>
    </sheetView>
  </sheetViews>
  <sheetFormatPr baseColWidth="10" defaultColWidth="11" defaultRowHeight="16" x14ac:dyDescent="0.2"/>
  <cols>
    <col min="3" max="3" width="207.5" customWidth="1"/>
    <col min="5" max="5" width="21" customWidth="1"/>
    <col min="6" max="6" width="10" customWidth="1"/>
    <col min="7" max="7" width="19" customWidth="1"/>
    <col min="12" max="12" width="18.5" customWidth="1"/>
    <col min="13" max="13" width="63.83203125" customWidth="1"/>
    <col min="14" max="14" width="26.1640625" customWidth="1"/>
  </cols>
  <sheetData>
    <row r="1" spans="1:20" x14ac:dyDescent="0.2">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row>
    <row r="2" spans="1:20" x14ac:dyDescent="0.2">
      <c r="A2" s="10" t="s">
        <v>18</v>
      </c>
      <c r="B2" s="11">
        <v>10</v>
      </c>
      <c r="C2" s="11" t="s">
        <v>19</v>
      </c>
      <c r="D2" s="11" t="s">
        <v>20</v>
      </c>
      <c r="E2" s="11">
        <v>2209</v>
      </c>
      <c r="F2" s="11" t="s">
        <v>21</v>
      </c>
      <c r="G2" s="3"/>
      <c r="H2" s="11">
        <v>512</v>
      </c>
      <c r="I2" s="11" t="s">
        <v>22</v>
      </c>
      <c r="J2" s="11">
        <v>1</v>
      </c>
      <c r="K2" s="11" t="s">
        <v>23</v>
      </c>
      <c r="L2" s="11" t="s">
        <v>24</v>
      </c>
      <c r="M2" s="11" t="s">
        <v>25</v>
      </c>
      <c r="N2" s="11" t="s">
        <v>26</v>
      </c>
      <c r="O2" s="11">
        <v>50</v>
      </c>
      <c r="P2" s="11">
        <v>1</v>
      </c>
      <c r="Q2" s="11" t="s">
        <v>27</v>
      </c>
      <c r="R2" s="11" t="s">
        <v>28</v>
      </c>
      <c r="S2">
        <v>0</v>
      </c>
      <c r="T2">
        <v>1</v>
      </c>
    </row>
    <row r="3" spans="1:20" x14ac:dyDescent="0.2">
      <c r="A3" s="10" t="s">
        <v>18</v>
      </c>
      <c r="B3" s="11">
        <v>2</v>
      </c>
      <c r="C3" s="11" t="s">
        <v>29</v>
      </c>
      <c r="D3" s="11" t="s">
        <v>30</v>
      </c>
      <c r="E3" s="11">
        <v>2222</v>
      </c>
      <c r="F3" s="11" t="s">
        <v>31</v>
      </c>
      <c r="G3" s="3"/>
      <c r="H3" s="11">
        <v>512</v>
      </c>
      <c r="I3" s="11" t="s">
        <v>22</v>
      </c>
      <c r="J3" s="11">
        <v>1</v>
      </c>
      <c r="K3" s="11" t="s">
        <v>32</v>
      </c>
      <c r="L3" s="11" t="s">
        <v>24</v>
      </c>
      <c r="M3" s="11" t="s">
        <v>25</v>
      </c>
      <c r="N3" s="11" t="s">
        <v>26</v>
      </c>
      <c r="O3" s="11">
        <v>50</v>
      </c>
      <c r="P3" s="11">
        <v>1</v>
      </c>
      <c r="Q3" s="11" t="s">
        <v>33</v>
      </c>
      <c r="R3" s="11" t="s">
        <v>34</v>
      </c>
      <c r="S3">
        <v>0</v>
      </c>
      <c r="T3">
        <v>2</v>
      </c>
    </row>
    <row r="4" spans="1:20" x14ac:dyDescent="0.2">
      <c r="A4" s="10" t="s">
        <v>35</v>
      </c>
      <c r="B4" s="11">
        <v>80</v>
      </c>
      <c r="C4" s="11" t="s">
        <v>36</v>
      </c>
      <c r="D4" s="11" t="s">
        <v>37</v>
      </c>
      <c r="E4" s="11">
        <v>2223</v>
      </c>
      <c r="F4" s="11" t="s">
        <v>38</v>
      </c>
      <c r="G4" s="11">
        <v>140</v>
      </c>
      <c r="H4" s="11">
        <v>512</v>
      </c>
      <c r="I4" s="11" t="s">
        <v>22</v>
      </c>
      <c r="J4" s="11">
        <v>1</v>
      </c>
      <c r="K4" s="11" t="s">
        <v>39</v>
      </c>
      <c r="L4" s="11" t="s">
        <v>24</v>
      </c>
      <c r="M4" s="11" t="s">
        <v>25</v>
      </c>
      <c r="N4" s="11" t="s">
        <v>26</v>
      </c>
      <c r="O4" s="11">
        <v>50</v>
      </c>
      <c r="P4" s="11">
        <v>1</v>
      </c>
      <c r="Q4" s="11" t="s">
        <v>40</v>
      </c>
      <c r="R4" s="11" t="s">
        <v>41</v>
      </c>
      <c r="S4">
        <v>0</v>
      </c>
      <c r="T4">
        <v>3</v>
      </c>
    </row>
    <row r="5" spans="1:20" x14ac:dyDescent="0.2">
      <c r="A5" s="10" t="s">
        <v>18</v>
      </c>
      <c r="B5" s="11">
        <v>1</v>
      </c>
      <c r="C5" s="11" t="s">
        <v>42</v>
      </c>
      <c r="D5" s="11" t="s">
        <v>43</v>
      </c>
      <c r="E5" s="11">
        <v>2255</v>
      </c>
      <c r="F5" s="11" t="s">
        <v>44</v>
      </c>
      <c r="G5" s="3"/>
      <c r="H5" s="11">
        <v>512</v>
      </c>
      <c r="I5" s="11" t="s">
        <v>22</v>
      </c>
      <c r="J5" s="11">
        <v>1</v>
      </c>
      <c r="K5" s="11" t="s">
        <v>45</v>
      </c>
      <c r="L5" s="11" t="s">
        <v>24</v>
      </c>
      <c r="M5" s="11" t="s">
        <v>25</v>
      </c>
      <c r="N5" s="11" t="s">
        <v>26</v>
      </c>
      <c r="O5" s="11">
        <v>50</v>
      </c>
      <c r="P5" s="11">
        <v>1</v>
      </c>
      <c r="Q5" s="11" t="s">
        <v>46</v>
      </c>
      <c r="R5" s="11" t="s">
        <v>47</v>
      </c>
      <c r="S5">
        <v>0</v>
      </c>
      <c r="T5">
        <v>4</v>
      </c>
    </row>
    <row r="6" spans="1:20" x14ac:dyDescent="0.2">
      <c r="A6" s="10" t="s">
        <v>18</v>
      </c>
      <c r="B6" s="11">
        <v>7</v>
      </c>
      <c r="C6" s="11" t="s">
        <v>48</v>
      </c>
      <c r="D6" s="11" t="s">
        <v>49</v>
      </c>
      <c r="E6" s="11">
        <v>2311</v>
      </c>
      <c r="F6" s="11" t="s">
        <v>50</v>
      </c>
      <c r="G6" s="3"/>
      <c r="H6" s="11">
        <v>512</v>
      </c>
      <c r="I6" s="11" t="s">
        <v>22</v>
      </c>
      <c r="J6" s="11">
        <v>1</v>
      </c>
      <c r="K6" s="11" t="s">
        <v>51</v>
      </c>
      <c r="L6" s="11" t="s">
        <v>24</v>
      </c>
      <c r="M6" s="11" t="s">
        <v>25</v>
      </c>
      <c r="N6" s="11" t="s">
        <v>26</v>
      </c>
      <c r="O6" s="11">
        <v>50</v>
      </c>
      <c r="P6" s="11">
        <v>1</v>
      </c>
      <c r="Q6" s="11" t="s">
        <v>52</v>
      </c>
      <c r="R6" s="11" t="s">
        <v>53</v>
      </c>
      <c r="S6">
        <v>0</v>
      </c>
      <c r="T6">
        <v>5</v>
      </c>
    </row>
    <row r="7" spans="1:20" x14ac:dyDescent="0.2">
      <c r="A7" s="10" t="s">
        <v>54</v>
      </c>
      <c r="B7" s="11">
        <v>10</v>
      </c>
      <c r="C7" s="11" t="s">
        <v>55</v>
      </c>
      <c r="D7" s="11" t="s">
        <v>20</v>
      </c>
      <c r="E7" s="11">
        <v>2201</v>
      </c>
      <c r="F7" s="11" t="s">
        <v>21</v>
      </c>
      <c r="G7" s="11">
        <v>60</v>
      </c>
      <c r="H7" s="11">
        <v>512</v>
      </c>
      <c r="I7" s="11" t="s">
        <v>22</v>
      </c>
      <c r="J7" s="11">
        <v>1</v>
      </c>
      <c r="K7" s="11" t="s">
        <v>23</v>
      </c>
      <c r="L7" s="11" t="s">
        <v>24</v>
      </c>
      <c r="M7" s="11" t="s">
        <v>56</v>
      </c>
      <c r="N7" s="11" t="s">
        <v>57</v>
      </c>
      <c r="O7" s="11">
        <v>50</v>
      </c>
      <c r="P7" s="11">
        <v>1</v>
      </c>
      <c r="Q7" s="11" t="s">
        <v>58</v>
      </c>
      <c r="R7" s="11" t="s">
        <v>59</v>
      </c>
      <c r="S7">
        <v>1</v>
      </c>
      <c r="T7">
        <v>6</v>
      </c>
    </row>
    <row r="8" spans="1:20" x14ac:dyDescent="0.2">
      <c r="A8" s="10" t="s">
        <v>60</v>
      </c>
      <c r="B8" s="11">
        <v>2</v>
      </c>
      <c r="C8" s="11" t="s">
        <v>61</v>
      </c>
      <c r="D8" s="11" t="s">
        <v>30</v>
      </c>
      <c r="E8" s="11">
        <v>2186</v>
      </c>
      <c r="F8" s="11" t="s">
        <v>31</v>
      </c>
      <c r="G8" s="11">
        <v>103</v>
      </c>
      <c r="H8" s="11">
        <v>512</v>
      </c>
      <c r="I8" s="11" t="s">
        <v>22</v>
      </c>
      <c r="J8" s="11">
        <v>1</v>
      </c>
      <c r="K8" s="11" t="s">
        <v>32</v>
      </c>
      <c r="L8" s="11" t="s">
        <v>24</v>
      </c>
      <c r="M8" s="11" t="s">
        <v>56</v>
      </c>
      <c r="N8" s="11" t="s">
        <v>57</v>
      </c>
      <c r="O8" s="11">
        <v>50</v>
      </c>
      <c r="P8" s="11">
        <v>1</v>
      </c>
      <c r="Q8" s="11" t="s">
        <v>62</v>
      </c>
      <c r="R8" s="11" t="s">
        <v>63</v>
      </c>
      <c r="S8">
        <v>1</v>
      </c>
      <c r="T8">
        <v>7</v>
      </c>
    </row>
    <row r="9" spans="1:20" x14ac:dyDescent="0.2">
      <c r="A9" s="10" t="s">
        <v>64</v>
      </c>
      <c r="B9" s="11">
        <v>80</v>
      </c>
      <c r="C9" s="11" t="s">
        <v>65</v>
      </c>
      <c r="D9" s="11" t="s">
        <v>37</v>
      </c>
      <c r="E9" s="11">
        <v>2197</v>
      </c>
      <c r="F9" s="11" t="s">
        <v>38</v>
      </c>
      <c r="G9" s="11">
        <v>100</v>
      </c>
      <c r="H9" s="11">
        <v>512</v>
      </c>
      <c r="I9" s="11" t="s">
        <v>22</v>
      </c>
      <c r="J9" s="11">
        <v>1</v>
      </c>
      <c r="K9" s="11" t="s">
        <v>39</v>
      </c>
      <c r="L9" s="11" t="s">
        <v>24</v>
      </c>
      <c r="M9" s="11" t="s">
        <v>56</v>
      </c>
      <c r="N9" s="11" t="s">
        <v>57</v>
      </c>
      <c r="O9" s="11">
        <v>50</v>
      </c>
      <c r="P9" s="11">
        <v>1</v>
      </c>
      <c r="Q9" s="11" t="s">
        <v>66</v>
      </c>
      <c r="R9" s="11" t="s">
        <v>67</v>
      </c>
      <c r="S9">
        <v>1</v>
      </c>
      <c r="T9">
        <v>8</v>
      </c>
    </row>
    <row r="10" spans="1:20" x14ac:dyDescent="0.2">
      <c r="A10" s="10" t="s">
        <v>68</v>
      </c>
      <c r="B10" s="11">
        <v>1</v>
      </c>
      <c r="C10" s="11" t="s">
        <v>69</v>
      </c>
      <c r="D10" s="11" t="s">
        <v>43</v>
      </c>
      <c r="E10" s="11">
        <v>2302</v>
      </c>
      <c r="F10" s="11" t="s">
        <v>44</v>
      </c>
      <c r="G10" s="11">
        <v>21</v>
      </c>
      <c r="H10" s="11">
        <v>512</v>
      </c>
      <c r="I10" s="11" t="s">
        <v>22</v>
      </c>
      <c r="J10" s="11">
        <v>1</v>
      </c>
      <c r="K10" s="11" t="s">
        <v>45</v>
      </c>
      <c r="L10" s="11" t="s">
        <v>24</v>
      </c>
      <c r="M10" s="11" t="s">
        <v>56</v>
      </c>
      <c r="N10" s="11" t="s">
        <v>57</v>
      </c>
      <c r="O10" s="11">
        <v>50</v>
      </c>
      <c r="P10" s="11">
        <v>1</v>
      </c>
      <c r="Q10" s="11" t="s">
        <v>70</v>
      </c>
      <c r="R10" s="11" t="s">
        <v>71</v>
      </c>
      <c r="S10">
        <v>1</v>
      </c>
      <c r="T10">
        <v>9</v>
      </c>
    </row>
    <row r="11" spans="1:20" x14ac:dyDescent="0.2">
      <c r="A11" s="10" t="s">
        <v>72</v>
      </c>
      <c r="B11" s="11">
        <v>7</v>
      </c>
      <c r="C11" s="11" t="s">
        <v>73</v>
      </c>
      <c r="D11" s="11" t="s">
        <v>49</v>
      </c>
      <c r="E11" s="11">
        <v>2199</v>
      </c>
      <c r="F11" s="11" t="s">
        <v>50</v>
      </c>
      <c r="G11" s="11">
        <v>3</v>
      </c>
      <c r="H11" s="11">
        <v>512</v>
      </c>
      <c r="I11" s="11" t="s">
        <v>22</v>
      </c>
      <c r="J11" s="11">
        <v>1</v>
      </c>
      <c r="K11" s="11" t="s">
        <v>51</v>
      </c>
      <c r="L11" s="11" t="s">
        <v>24</v>
      </c>
      <c r="M11" s="11" t="s">
        <v>56</v>
      </c>
      <c r="N11" s="11" t="s">
        <v>57</v>
      </c>
      <c r="O11" s="11">
        <v>50</v>
      </c>
      <c r="P11" s="11">
        <v>1</v>
      </c>
      <c r="Q11" s="11" t="s">
        <v>74</v>
      </c>
      <c r="R11" s="11" t="s">
        <v>75</v>
      </c>
      <c r="S11">
        <v>1</v>
      </c>
      <c r="T11">
        <v>10</v>
      </c>
    </row>
    <row r="12" spans="1:20" x14ac:dyDescent="0.2">
      <c r="A12" s="10" t="s">
        <v>76</v>
      </c>
      <c r="B12" s="11">
        <v>10</v>
      </c>
      <c r="C12" s="11" t="s">
        <v>77</v>
      </c>
      <c r="D12" s="11" t="s">
        <v>20</v>
      </c>
      <c r="E12" s="11">
        <v>2173</v>
      </c>
      <c r="F12" s="11" t="s">
        <v>21</v>
      </c>
      <c r="G12" s="12">
        <v>45877</v>
      </c>
      <c r="H12" s="11">
        <v>512</v>
      </c>
      <c r="I12" s="11" t="s">
        <v>22</v>
      </c>
      <c r="J12" s="11">
        <v>1</v>
      </c>
      <c r="K12" s="11" t="s">
        <v>23</v>
      </c>
      <c r="L12" s="11" t="s">
        <v>24</v>
      </c>
      <c r="M12" s="11" t="s">
        <v>78</v>
      </c>
      <c r="N12" s="11" t="s">
        <v>79</v>
      </c>
      <c r="O12" s="11">
        <v>50</v>
      </c>
      <c r="P12" s="11">
        <v>1</v>
      </c>
      <c r="Q12" s="11" t="s">
        <v>80</v>
      </c>
      <c r="R12" s="11" t="s">
        <v>81</v>
      </c>
      <c r="S12">
        <v>2</v>
      </c>
      <c r="T12">
        <v>11</v>
      </c>
    </row>
    <row r="13" spans="1:20" x14ac:dyDescent="0.2">
      <c r="A13" s="10" t="s">
        <v>82</v>
      </c>
      <c r="B13" s="11">
        <v>2</v>
      </c>
      <c r="C13" s="11" t="s">
        <v>83</v>
      </c>
      <c r="D13" s="11" t="s">
        <v>30</v>
      </c>
      <c r="E13" s="11">
        <v>2181</v>
      </c>
      <c r="F13" s="11" t="s">
        <v>31</v>
      </c>
      <c r="G13" s="11" t="s">
        <v>84</v>
      </c>
      <c r="H13" s="11">
        <v>512</v>
      </c>
      <c r="I13" s="11" t="s">
        <v>22</v>
      </c>
      <c r="J13" s="11">
        <v>1</v>
      </c>
      <c r="K13" s="11" t="s">
        <v>32</v>
      </c>
      <c r="L13" s="11" t="s">
        <v>24</v>
      </c>
      <c r="M13" s="11" t="s">
        <v>78</v>
      </c>
      <c r="N13" s="11" t="s">
        <v>79</v>
      </c>
      <c r="O13" s="11">
        <v>50</v>
      </c>
      <c r="P13" s="11">
        <v>1</v>
      </c>
      <c r="Q13" s="11" t="s">
        <v>85</v>
      </c>
      <c r="R13" s="11" t="s">
        <v>86</v>
      </c>
      <c r="S13">
        <v>2</v>
      </c>
      <c r="T13">
        <v>12</v>
      </c>
    </row>
    <row r="14" spans="1:20" x14ac:dyDescent="0.2">
      <c r="A14" s="10" t="s">
        <v>87</v>
      </c>
      <c r="B14" s="11">
        <v>80</v>
      </c>
      <c r="C14" s="11" t="s">
        <v>88</v>
      </c>
      <c r="D14" s="11" t="s">
        <v>37</v>
      </c>
      <c r="E14" s="11">
        <v>2171</v>
      </c>
      <c r="F14" s="11" t="s">
        <v>38</v>
      </c>
      <c r="G14" s="11">
        <v>6</v>
      </c>
      <c r="H14" s="11">
        <v>512</v>
      </c>
      <c r="I14" s="11" t="s">
        <v>22</v>
      </c>
      <c r="J14" s="11">
        <v>1</v>
      </c>
      <c r="K14" s="11" t="s">
        <v>39</v>
      </c>
      <c r="L14" s="11" t="s">
        <v>24</v>
      </c>
      <c r="M14" s="11" t="s">
        <v>78</v>
      </c>
      <c r="N14" s="11" t="s">
        <v>79</v>
      </c>
      <c r="O14" s="11">
        <v>50</v>
      </c>
      <c r="P14" s="11">
        <v>1</v>
      </c>
      <c r="Q14" s="11" t="s">
        <v>89</v>
      </c>
      <c r="R14" s="11" t="s">
        <v>90</v>
      </c>
      <c r="S14">
        <v>2</v>
      </c>
      <c r="T14">
        <v>13</v>
      </c>
    </row>
    <row r="15" spans="1:20" x14ac:dyDescent="0.2">
      <c r="A15" s="10" t="s">
        <v>91</v>
      </c>
      <c r="B15" s="11">
        <v>1</v>
      </c>
      <c r="C15" s="11" t="s">
        <v>92</v>
      </c>
      <c r="D15" s="11" t="s">
        <v>43</v>
      </c>
      <c r="E15" s="11">
        <v>2181</v>
      </c>
      <c r="F15" s="11" t="s">
        <v>44</v>
      </c>
      <c r="G15" s="12">
        <v>45873</v>
      </c>
      <c r="H15" s="11">
        <v>512</v>
      </c>
      <c r="I15" s="11" t="s">
        <v>22</v>
      </c>
      <c r="J15" s="11">
        <v>1</v>
      </c>
      <c r="K15" s="11" t="s">
        <v>45</v>
      </c>
      <c r="L15" s="11" t="s">
        <v>24</v>
      </c>
      <c r="M15" s="11" t="s">
        <v>78</v>
      </c>
      <c r="N15" s="11" t="s">
        <v>79</v>
      </c>
      <c r="O15" s="11">
        <v>50</v>
      </c>
      <c r="P15" s="11">
        <v>1</v>
      </c>
      <c r="Q15" s="11" t="s">
        <v>93</v>
      </c>
      <c r="R15" s="11" t="s">
        <v>94</v>
      </c>
      <c r="S15">
        <v>2</v>
      </c>
      <c r="T15">
        <v>14</v>
      </c>
    </row>
    <row r="16" spans="1:20" x14ac:dyDescent="0.2">
      <c r="A16" s="10" t="s">
        <v>76</v>
      </c>
      <c r="B16" s="11">
        <v>7</v>
      </c>
      <c r="C16" s="11" t="s">
        <v>95</v>
      </c>
      <c r="D16" s="11" t="s">
        <v>49</v>
      </c>
      <c r="E16" s="11">
        <v>2448</v>
      </c>
      <c r="F16" s="11" t="s">
        <v>50</v>
      </c>
      <c r="G16" s="12">
        <v>45877</v>
      </c>
      <c r="H16" s="11">
        <v>512</v>
      </c>
      <c r="I16" s="11" t="s">
        <v>22</v>
      </c>
      <c r="J16" s="11">
        <v>1</v>
      </c>
      <c r="K16" s="11" t="s">
        <v>51</v>
      </c>
      <c r="L16" s="11" t="s">
        <v>24</v>
      </c>
      <c r="M16" s="11" t="s">
        <v>78</v>
      </c>
      <c r="N16" s="11" t="s">
        <v>79</v>
      </c>
      <c r="O16" s="11">
        <v>50</v>
      </c>
      <c r="P16" s="11">
        <v>1</v>
      </c>
      <c r="Q16" s="11" t="s">
        <v>96</v>
      </c>
      <c r="R16" s="11" t="s">
        <v>97</v>
      </c>
      <c r="S16">
        <v>2</v>
      </c>
      <c r="T16">
        <v>15</v>
      </c>
    </row>
    <row r="17" spans="1:20" x14ac:dyDescent="0.2">
      <c r="A17" s="10" t="s">
        <v>98</v>
      </c>
      <c r="B17" s="11">
        <v>10</v>
      </c>
      <c r="C17" s="11" t="s">
        <v>99</v>
      </c>
      <c r="D17" s="11" t="s">
        <v>20</v>
      </c>
      <c r="E17" s="11">
        <v>6049</v>
      </c>
      <c r="F17" s="11" t="s">
        <v>21</v>
      </c>
      <c r="G17" s="11">
        <v>35</v>
      </c>
      <c r="H17" s="11">
        <v>512</v>
      </c>
      <c r="I17" s="11" t="s">
        <v>22</v>
      </c>
      <c r="J17" s="11">
        <v>1</v>
      </c>
      <c r="K17" s="11" t="s">
        <v>23</v>
      </c>
      <c r="L17" s="11" t="s">
        <v>24</v>
      </c>
      <c r="M17" s="11" t="s">
        <v>100</v>
      </c>
      <c r="N17" s="11" t="s">
        <v>101</v>
      </c>
      <c r="O17" s="11">
        <v>50</v>
      </c>
      <c r="P17" s="11">
        <v>1</v>
      </c>
      <c r="Q17" s="11" t="s">
        <v>102</v>
      </c>
      <c r="R17" s="11" t="s">
        <v>103</v>
      </c>
      <c r="S17">
        <v>3</v>
      </c>
      <c r="T17">
        <v>16</v>
      </c>
    </row>
    <row r="18" spans="1:20" x14ac:dyDescent="0.2">
      <c r="A18" s="10" t="s">
        <v>104</v>
      </c>
      <c r="B18" s="11">
        <v>2</v>
      </c>
      <c r="C18" s="11" t="s">
        <v>105</v>
      </c>
      <c r="D18" s="11" t="s">
        <v>30</v>
      </c>
      <c r="E18" s="11">
        <v>6285</v>
      </c>
      <c r="F18" s="11" t="s">
        <v>31</v>
      </c>
      <c r="G18" s="11">
        <v>90</v>
      </c>
      <c r="H18" s="11">
        <v>512</v>
      </c>
      <c r="I18" s="11" t="s">
        <v>22</v>
      </c>
      <c r="J18" s="11">
        <v>1</v>
      </c>
      <c r="K18" s="11" t="s">
        <v>32</v>
      </c>
      <c r="L18" s="11" t="s">
        <v>24</v>
      </c>
      <c r="M18" s="11" t="s">
        <v>100</v>
      </c>
      <c r="N18" s="11" t="s">
        <v>101</v>
      </c>
      <c r="O18" s="11">
        <v>50</v>
      </c>
      <c r="P18" s="11">
        <v>1</v>
      </c>
      <c r="Q18" s="11" t="s">
        <v>106</v>
      </c>
      <c r="R18" s="11" t="s">
        <v>107</v>
      </c>
      <c r="S18">
        <v>3</v>
      </c>
      <c r="T18">
        <v>17</v>
      </c>
    </row>
    <row r="19" spans="1:20" x14ac:dyDescent="0.2">
      <c r="A19" s="10" t="s">
        <v>108</v>
      </c>
      <c r="B19" s="11">
        <v>10</v>
      </c>
      <c r="C19" s="11" t="s">
        <v>109</v>
      </c>
      <c r="D19" s="11" t="s">
        <v>20</v>
      </c>
      <c r="E19" s="11">
        <v>2192</v>
      </c>
      <c r="F19" s="11" t="s">
        <v>21</v>
      </c>
      <c r="G19" s="11">
        <v>600</v>
      </c>
      <c r="H19" s="11">
        <v>512</v>
      </c>
      <c r="I19" s="11" t="s">
        <v>22</v>
      </c>
      <c r="J19" s="11">
        <v>1</v>
      </c>
      <c r="K19" s="11" t="s">
        <v>23</v>
      </c>
      <c r="L19" s="11" t="s">
        <v>24</v>
      </c>
      <c r="M19" s="11" t="s">
        <v>100</v>
      </c>
      <c r="N19" s="11" t="s">
        <v>101</v>
      </c>
      <c r="O19" s="11">
        <v>50</v>
      </c>
      <c r="P19" s="11">
        <v>1</v>
      </c>
      <c r="Q19" s="11" t="s">
        <v>110</v>
      </c>
      <c r="R19" s="11" t="s">
        <v>111</v>
      </c>
      <c r="S19">
        <v>3</v>
      </c>
      <c r="T19">
        <v>18</v>
      </c>
    </row>
    <row r="20" spans="1:20" x14ac:dyDescent="0.2">
      <c r="A20" s="10" t="s">
        <v>112</v>
      </c>
      <c r="B20" s="11">
        <v>2</v>
      </c>
      <c r="C20" s="11" t="s">
        <v>113</v>
      </c>
      <c r="D20" s="11" t="s">
        <v>30</v>
      </c>
      <c r="E20" s="11">
        <v>2188</v>
      </c>
      <c r="F20" s="11" t="s">
        <v>31</v>
      </c>
      <c r="G20" s="11">
        <v>5</v>
      </c>
      <c r="H20" s="11">
        <v>512</v>
      </c>
      <c r="I20" s="11" t="s">
        <v>22</v>
      </c>
      <c r="J20" s="11">
        <v>1</v>
      </c>
      <c r="K20" s="11" t="s">
        <v>32</v>
      </c>
      <c r="L20" s="11" t="s">
        <v>24</v>
      </c>
      <c r="M20" s="11" t="s">
        <v>100</v>
      </c>
      <c r="N20" s="11" t="s">
        <v>101</v>
      </c>
      <c r="O20" s="11">
        <v>50</v>
      </c>
      <c r="P20" s="11">
        <v>1</v>
      </c>
      <c r="Q20" s="11" t="s">
        <v>114</v>
      </c>
      <c r="R20" s="11" t="s">
        <v>115</v>
      </c>
      <c r="S20">
        <v>3</v>
      </c>
      <c r="T20">
        <v>19</v>
      </c>
    </row>
    <row r="21" spans="1:20" x14ac:dyDescent="0.2">
      <c r="A21" s="10" t="s">
        <v>116</v>
      </c>
      <c r="B21" s="11">
        <v>80</v>
      </c>
      <c r="C21" s="11" t="s">
        <v>117</v>
      </c>
      <c r="D21" s="11" t="s">
        <v>37</v>
      </c>
      <c r="E21" s="11">
        <v>2201</v>
      </c>
      <c r="F21" s="11" t="s">
        <v>38</v>
      </c>
      <c r="G21" s="11" t="s">
        <v>118</v>
      </c>
      <c r="H21" s="11">
        <v>512</v>
      </c>
      <c r="I21" s="11" t="s">
        <v>22</v>
      </c>
      <c r="J21" s="11">
        <v>1</v>
      </c>
      <c r="K21" s="11" t="s">
        <v>39</v>
      </c>
      <c r="L21" s="11" t="s">
        <v>24</v>
      </c>
      <c r="M21" s="11" t="s">
        <v>100</v>
      </c>
      <c r="N21" s="11" t="s">
        <v>101</v>
      </c>
      <c r="O21" s="11">
        <v>50</v>
      </c>
      <c r="P21" s="11">
        <v>1</v>
      </c>
      <c r="Q21" s="11" t="s">
        <v>119</v>
      </c>
      <c r="R21" s="11" t="s">
        <v>120</v>
      </c>
      <c r="S21">
        <v>3</v>
      </c>
      <c r="T21">
        <v>20</v>
      </c>
    </row>
    <row r="22" spans="1:20" x14ac:dyDescent="0.2">
      <c r="A22" s="10" t="s">
        <v>35</v>
      </c>
      <c r="B22" s="11">
        <v>80</v>
      </c>
      <c r="C22" s="11" t="s">
        <v>121</v>
      </c>
      <c r="D22" s="11" t="s">
        <v>37</v>
      </c>
      <c r="E22" s="11">
        <v>6267</v>
      </c>
      <c r="F22" s="11" t="s">
        <v>38</v>
      </c>
      <c r="G22" s="11">
        <v>140</v>
      </c>
      <c r="H22" s="11">
        <v>512</v>
      </c>
      <c r="I22" s="11" t="s">
        <v>22</v>
      </c>
      <c r="J22" s="11" t="s">
        <v>23</v>
      </c>
      <c r="K22" s="11" t="s">
        <v>39</v>
      </c>
      <c r="L22" s="11" t="s">
        <v>24</v>
      </c>
      <c r="M22" s="11" t="s">
        <v>122</v>
      </c>
      <c r="N22" s="11" t="s">
        <v>123</v>
      </c>
      <c r="O22" s="11">
        <v>50</v>
      </c>
      <c r="P22" s="11">
        <v>1</v>
      </c>
      <c r="Q22" s="11" t="s">
        <v>124</v>
      </c>
      <c r="R22" s="11" t="s">
        <v>125</v>
      </c>
      <c r="S22">
        <v>4</v>
      </c>
      <c r="T22">
        <v>21</v>
      </c>
    </row>
    <row r="23" spans="1:20" x14ac:dyDescent="0.2">
      <c r="A23" s="10" t="s">
        <v>126</v>
      </c>
      <c r="B23" s="11">
        <v>1</v>
      </c>
      <c r="C23" s="11" t="s">
        <v>127</v>
      </c>
      <c r="D23" s="11" t="s">
        <v>43</v>
      </c>
      <c r="E23" s="11">
        <v>2204</v>
      </c>
      <c r="F23" s="11" t="s">
        <v>44</v>
      </c>
      <c r="G23" s="11">
        <v>4</v>
      </c>
      <c r="H23" s="11">
        <v>512</v>
      </c>
      <c r="I23" s="11" t="s">
        <v>22</v>
      </c>
      <c r="J23" s="11">
        <v>1</v>
      </c>
      <c r="K23" s="11" t="s">
        <v>45</v>
      </c>
      <c r="L23" s="11" t="s">
        <v>24</v>
      </c>
      <c r="M23" s="11" t="s">
        <v>122</v>
      </c>
      <c r="N23" s="11" t="s">
        <v>123</v>
      </c>
      <c r="O23" s="11">
        <v>50</v>
      </c>
      <c r="P23" s="11">
        <v>1</v>
      </c>
      <c r="Q23" s="11" t="s">
        <v>128</v>
      </c>
      <c r="R23" s="11" t="s">
        <v>129</v>
      </c>
      <c r="S23">
        <v>4</v>
      </c>
      <c r="T23">
        <v>22</v>
      </c>
    </row>
    <row r="24" spans="1:20" x14ac:dyDescent="0.2">
      <c r="A24" s="10" t="s">
        <v>130</v>
      </c>
      <c r="B24" s="11">
        <v>7</v>
      </c>
      <c r="C24" s="11" t="s">
        <v>131</v>
      </c>
      <c r="D24" s="11" t="s">
        <v>49</v>
      </c>
      <c r="E24" s="11">
        <v>2242</v>
      </c>
      <c r="F24" s="11" t="s">
        <v>50</v>
      </c>
      <c r="G24" s="11">
        <v>15</v>
      </c>
      <c r="H24" s="11">
        <v>512</v>
      </c>
      <c r="I24" s="11" t="s">
        <v>22</v>
      </c>
      <c r="J24" s="11">
        <v>1</v>
      </c>
      <c r="K24" s="11" t="s">
        <v>51</v>
      </c>
      <c r="L24" s="11" t="s">
        <v>24</v>
      </c>
      <c r="M24" s="11" t="s">
        <v>122</v>
      </c>
      <c r="N24" s="11" t="s">
        <v>123</v>
      </c>
      <c r="O24" s="11">
        <v>50</v>
      </c>
      <c r="P24" s="11">
        <v>1</v>
      </c>
      <c r="Q24" s="11" t="s">
        <v>132</v>
      </c>
      <c r="R24" s="11" t="s">
        <v>133</v>
      </c>
      <c r="S24">
        <v>4</v>
      </c>
      <c r="T24">
        <v>23</v>
      </c>
    </row>
    <row r="25" spans="1:20" x14ac:dyDescent="0.2">
      <c r="A25" s="10" t="s">
        <v>18</v>
      </c>
      <c r="B25" s="11">
        <v>1</v>
      </c>
      <c r="C25" s="11" t="s">
        <v>134</v>
      </c>
      <c r="D25" s="11" t="s">
        <v>43</v>
      </c>
      <c r="E25" s="11">
        <v>962</v>
      </c>
      <c r="F25" s="11" t="s">
        <v>44</v>
      </c>
      <c r="G25" s="3"/>
      <c r="H25" s="11">
        <v>512</v>
      </c>
      <c r="I25" s="11" t="s">
        <v>22</v>
      </c>
      <c r="J25" s="11">
        <v>1</v>
      </c>
      <c r="K25" s="11" t="s">
        <v>45</v>
      </c>
      <c r="L25" s="11" t="s">
        <v>24</v>
      </c>
      <c r="M25" s="11" t="s">
        <v>122</v>
      </c>
      <c r="N25" s="11" t="s">
        <v>123</v>
      </c>
      <c r="O25" s="11">
        <v>50</v>
      </c>
      <c r="P25" s="11">
        <v>1</v>
      </c>
      <c r="Q25" s="11" t="s">
        <v>135</v>
      </c>
      <c r="R25" s="11" t="s">
        <v>136</v>
      </c>
      <c r="S25">
        <v>4</v>
      </c>
      <c r="T25">
        <v>24</v>
      </c>
    </row>
    <row r="26" spans="1:20" x14ac:dyDescent="0.2">
      <c r="A26" s="10" t="s">
        <v>18</v>
      </c>
      <c r="B26" s="11">
        <v>7</v>
      </c>
      <c r="C26" s="11" t="s">
        <v>137</v>
      </c>
      <c r="D26" s="11" t="s">
        <v>49</v>
      </c>
      <c r="E26" s="11">
        <v>6334</v>
      </c>
      <c r="F26" s="11" t="s">
        <v>50</v>
      </c>
      <c r="G26" s="3"/>
      <c r="H26" s="11">
        <v>512</v>
      </c>
      <c r="I26" s="11" t="s">
        <v>22</v>
      </c>
      <c r="J26" s="11">
        <v>1</v>
      </c>
      <c r="K26" s="11" t="s">
        <v>51</v>
      </c>
      <c r="L26" s="11" t="s">
        <v>24</v>
      </c>
      <c r="M26" s="11" t="s">
        <v>122</v>
      </c>
      <c r="N26" s="11" t="s">
        <v>123</v>
      </c>
      <c r="O26" s="11">
        <v>50</v>
      </c>
      <c r="P26" s="11">
        <v>1</v>
      </c>
      <c r="Q26" s="11" t="s">
        <v>138</v>
      </c>
      <c r="R26" s="11" t="s">
        <v>139</v>
      </c>
      <c r="S26">
        <v>4</v>
      </c>
      <c r="T26">
        <v>25</v>
      </c>
    </row>
    <row r="27" spans="1:20" x14ac:dyDescent="0.2">
      <c r="A27" s="10" t="s">
        <v>18</v>
      </c>
      <c r="B27" s="11">
        <v>10</v>
      </c>
      <c r="C27" s="11" t="s">
        <v>140</v>
      </c>
      <c r="D27" s="11" t="s">
        <v>20</v>
      </c>
      <c r="E27" s="11">
        <v>10491</v>
      </c>
      <c r="F27" s="11" t="s">
        <v>21</v>
      </c>
      <c r="G27" s="3"/>
      <c r="H27" s="11">
        <v>512</v>
      </c>
      <c r="I27" s="11" t="s">
        <v>22</v>
      </c>
      <c r="J27" s="11">
        <v>1</v>
      </c>
      <c r="K27" s="11" t="s">
        <v>23</v>
      </c>
      <c r="L27" s="11" t="s">
        <v>24</v>
      </c>
      <c r="M27" s="11" t="s">
        <v>141</v>
      </c>
      <c r="N27" s="11" t="s">
        <v>142</v>
      </c>
      <c r="O27" s="11">
        <v>50</v>
      </c>
      <c r="P27" s="11">
        <v>1</v>
      </c>
      <c r="Q27" s="11" t="s">
        <v>143</v>
      </c>
      <c r="R27" s="11" t="s">
        <v>144</v>
      </c>
      <c r="S27">
        <v>5</v>
      </c>
      <c r="T27">
        <v>26</v>
      </c>
    </row>
    <row r="28" spans="1:20" x14ac:dyDescent="0.2">
      <c r="A28" s="10" t="s">
        <v>112</v>
      </c>
      <c r="B28" s="11">
        <v>10</v>
      </c>
      <c r="C28" s="11" t="s">
        <v>145</v>
      </c>
      <c r="D28" s="11" t="s">
        <v>20</v>
      </c>
      <c r="E28" s="11">
        <v>6483</v>
      </c>
      <c r="F28" s="11" t="s">
        <v>21</v>
      </c>
      <c r="G28" s="11">
        <v>5</v>
      </c>
      <c r="H28" s="11">
        <v>512</v>
      </c>
      <c r="I28" s="11" t="s">
        <v>22</v>
      </c>
      <c r="J28" s="11">
        <v>1</v>
      </c>
      <c r="K28" s="11" t="s">
        <v>23</v>
      </c>
      <c r="L28" s="11" t="s">
        <v>24</v>
      </c>
      <c r="M28" s="11" t="s">
        <v>141</v>
      </c>
      <c r="N28" s="11" t="s">
        <v>142</v>
      </c>
      <c r="O28" s="11">
        <v>50</v>
      </c>
      <c r="P28" s="11">
        <v>1</v>
      </c>
      <c r="Q28" s="11" t="s">
        <v>146</v>
      </c>
      <c r="R28" s="11" t="s">
        <v>147</v>
      </c>
      <c r="S28">
        <v>5</v>
      </c>
      <c r="T28">
        <v>27</v>
      </c>
    </row>
    <row r="29" spans="1:20" x14ac:dyDescent="0.2">
      <c r="A29" s="10" t="s">
        <v>112</v>
      </c>
      <c r="B29" s="11">
        <v>2</v>
      </c>
      <c r="C29" s="11" t="s">
        <v>148</v>
      </c>
      <c r="D29" s="11" t="s">
        <v>30</v>
      </c>
      <c r="E29" s="11">
        <v>6368</v>
      </c>
      <c r="F29" s="11" t="s">
        <v>31</v>
      </c>
      <c r="G29" s="11">
        <v>5</v>
      </c>
      <c r="H29" s="11">
        <v>512</v>
      </c>
      <c r="I29" s="11" t="s">
        <v>22</v>
      </c>
      <c r="J29" s="11">
        <v>1</v>
      </c>
      <c r="K29" s="11" t="s">
        <v>32</v>
      </c>
      <c r="L29" s="11" t="s">
        <v>24</v>
      </c>
      <c r="M29" s="11" t="s">
        <v>141</v>
      </c>
      <c r="N29" s="11" t="s">
        <v>142</v>
      </c>
      <c r="O29" s="11">
        <v>50</v>
      </c>
      <c r="P29" s="11">
        <v>1</v>
      </c>
      <c r="Q29" s="11" t="s">
        <v>149</v>
      </c>
      <c r="R29" s="11" t="s">
        <v>150</v>
      </c>
      <c r="S29">
        <v>5</v>
      </c>
      <c r="T29">
        <v>28</v>
      </c>
    </row>
    <row r="30" spans="1:20" x14ac:dyDescent="0.2">
      <c r="A30" s="10" t="s">
        <v>151</v>
      </c>
      <c r="B30" s="11">
        <v>2</v>
      </c>
      <c r="C30" s="11" t="s">
        <v>152</v>
      </c>
      <c r="D30" s="11" t="s">
        <v>30</v>
      </c>
      <c r="E30" s="11">
        <v>10527</v>
      </c>
      <c r="F30" s="11" t="s">
        <v>31</v>
      </c>
      <c r="G30" s="11">
        <v>10</v>
      </c>
      <c r="H30" s="11">
        <v>512</v>
      </c>
      <c r="I30" s="11" t="s">
        <v>22</v>
      </c>
      <c r="J30" s="11">
        <v>1</v>
      </c>
      <c r="K30" s="11" t="s">
        <v>32</v>
      </c>
      <c r="L30" s="11" t="s">
        <v>24</v>
      </c>
      <c r="M30" s="11" t="s">
        <v>141</v>
      </c>
      <c r="N30" s="11" t="s">
        <v>142</v>
      </c>
      <c r="O30" s="11">
        <v>50</v>
      </c>
      <c r="P30" s="11">
        <v>1</v>
      </c>
      <c r="Q30" s="11" t="s">
        <v>153</v>
      </c>
      <c r="R30" s="11" t="s">
        <v>154</v>
      </c>
      <c r="S30">
        <v>5</v>
      </c>
      <c r="T30">
        <v>29</v>
      </c>
    </row>
    <row r="31" spans="1:20" x14ac:dyDescent="0.2">
      <c r="A31" s="10" t="s">
        <v>155</v>
      </c>
      <c r="B31" s="11">
        <v>80</v>
      </c>
      <c r="C31" s="11" t="s">
        <v>156</v>
      </c>
      <c r="D31" s="11" t="s">
        <v>37</v>
      </c>
      <c r="E31" s="11">
        <v>6206</v>
      </c>
      <c r="F31" s="11" t="s">
        <v>38</v>
      </c>
      <c r="G31" s="11">
        <v>290</v>
      </c>
      <c r="H31" s="11">
        <v>512</v>
      </c>
      <c r="I31" s="11" t="s">
        <v>22</v>
      </c>
      <c r="J31" s="11">
        <v>1</v>
      </c>
      <c r="K31" s="11" t="s">
        <v>39</v>
      </c>
      <c r="L31" s="11" t="s">
        <v>24</v>
      </c>
      <c r="M31" s="11" t="s">
        <v>141</v>
      </c>
      <c r="N31" s="11" t="s">
        <v>142</v>
      </c>
      <c r="O31" s="11">
        <v>50</v>
      </c>
      <c r="P31" s="11">
        <v>1</v>
      </c>
      <c r="Q31" s="11" t="s">
        <v>157</v>
      </c>
      <c r="R31" s="11" t="s">
        <v>158</v>
      </c>
      <c r="S31">
        <v>5</v>
      </c>
      <c r="T31">
        <v>30</v>
      </c>
    </row>
    <row r="32" spans="1:20" x14ac:dyDescent="0.2">
      <c r="A32" s="10" t="s">
        <v>18</v>
      </c>
      <c r="B32" s="11">
        <v>1</v>
      </c>
      <c r="C32" s="11" t="s">
        <v>159</v>
      </c>
      <c r="D32" s="11" t="s">
        <v>43</v>
      </c>
      <c r="E32" s="11">
        <v>6221</v>
      </c>
      <c r="F32" s="11" t="s">
        <v>44</v>
      </c>
      <c r="G32" s="3"/>
      <c r="H32" s="11">
        <v>512</v>
      </c>
      <c r="I32" s="11" t="s">
        <v>22</v>
      </c>
      <c r="J32" s="11">
        <v>1</v>
      </c>
      <c r="K32" s="11" t="s">
        <v>45</v>
      </c>
      <c r="L32" s="11" t="s">
        <v>24</v>
      </c>
      <c r="M32" s="11" t="s">
        <v>160</v>
      </c>
      <c r="N32" s="11" t="s">
        <v>161</v>
      </c>
      <c r="O32" s="11">
        <v>50</v>
      </c>
      <c r="P32" s="11">
        <v>1</v>
      </c>
      <c r="Q32" s="11" t="s">
        <v>162</v>
      </c>
      <c r="R32" s="11" t="s">
        <v>163</v>
      </c>
      <c r="S32">
        <v>6</v>
      </c>
      <c r="T32">
        <v>31</v>
      </c>
    </row>
    <row r="33" spans="1:20" x14ac:dyDescent="0.2">
      <c r="A33" s="10" t="s">
        <v>64</v>
      </c>
      <c r="B33" s="11">
        <v>80</v>
      </c>
      <c r="C33" s="11" t="s">
        <v>164</v>
      </c>
      <c r="D33" s="11" t="s">
        <v>37</v>
      </c>
      <c r="E33" s="11">
        <v>10606</v>
      </c>
      <c r="F33" s="11" t="s">
        <v>38</v>
      </c>
      <c r="G33" s="11">
        <v>100</v>
      </c>
      <c r="H33" s="11">
        <v>512</v>
      </c>
      <c r="I33" s="11" t="s">
        <v>22</v>
      </c>
      <c r="J33" s="11">
        <v>1</v>
      </c>
      <c r="K33" s="11" t="s">
        <v>39</v>
      </c>
      <c r="L33" s="11" t="s">
        <v>24</v>
      </c>
      <c r="M33" s="11" t="s">
        <v>160</v>
      </c>
      <c r="N33" s="11" t="s">
        <v>161</v>
      </c>
      <c r="O33" s="11">
        <v>50</v>
      </c>
      <c r="P33" s="11">
        <v>1</v>
      </c>
      <c r="Q33" s="11" t="s">
        <v>165</v>
      </c>
      <c r="R33" s="11" t="s">
        <v>166</v>
      </c>
      <c r="S33">
        <v>6</v>
      </c>
      <c r="T33">
        <v>32</v>
      </c>
    </row>
    <row r="34" spans="1:20" x14ac:dyDescent="0.2">
      <c r="A34" s="10" t="s">
        <v>18</v>
      </c>
      <c r="B34" s="11">
        <v>7</v>
      </c>
      <c r="C34" s="11" t="s">
        <v>167</v>
      </c>
      <c r="D34" s="11" t="s">
        <v>49</v>
      </c>
      <c r="E34" s="11">
        <v>6147</v>
      </c>
      <c r="F34" s="11" t="s">
        <v>50</v>
      </c>
      <c r="G34" s="3"/>
      <c r="H34" s="11">
        <v>512</v>
      </c>
      <c r="I34" s="11" t="s">
        <v>22</v>
      </c>
      <c r="J34" s="11">
        <v>1</v>
      </c>
      <c r="K34" s="11" t="s">
        <v>51</v>
      </c>
      <c r="L34" s="11" t="s">
        <v>24</v>
      </c>
      <c r="M34" s="11" t="s">
        <v>160</v>
      </c>
      <c r="N34" s="11" t="s">
        <v>161</v>
      </c>
      <c r="O34" s="11">
        <v>50</v>
      </c>
      <c r="P34" s="11">
        <v>1</v>
      </c>
      <c r="Q34" s="11" t="s">
        <v>168</v>
      </c>
      <c r="R34" s="11" t="s">
        <v>169</v>
      </c>
      <c r="S34">
        <v>6</v>
      </c>
      <c r="T34">
        <v>33</v>
      </c>
    </row>
    <row r="35" spans="1:20" x14ac:dyDescent="0.2">
      <c r="A35" s="10" t="s">
        <v>18</v>
      </c>
      <c r="B35" s="11">
        <v>1</v>
      </c>
      <c r="C35" s="11" t="s">
        <v>170</v>
      </c>
      <c r="D35" s="11" t="s">
        <v>43</v>
      </c>
      <c r="E35" s="11">
        <v>10501</v>
      </c>
      <c r="F35" s="11" t="s">
        <v>44</v>
      </c>
      <c r="G35" s="3"/>
      <c r="H35" s="11">
        <v>512</v>
      </c>
      <c r="I35" s="11" t="s">
        <v>22</v>
      </c>
      <c r="J35" s="11">
        <v>1</v>
      </c>
      <c r="K35" s="11" t="s">
        <v>45</v>
      </c>
      <c r="L35" s="11" t="s">
        <v>24</v>
      </c>
      <c r="M35" s="11" t="s">
        <v>160</v>
      </c>
      <c r="N35" s="11" t="s">
        <v>161</v>
      </c>
      <c r="O35" s="11">
        <v>50</v>
      </c>
      <c r="P35" s="11">
        <v>1</v>
      </c>
      <c r="Q35" s="11" t="s">
        <v>171</v>
      </c>
      <c r="R35" s="11" t="s">
        <v>172</v>
      </c>
      <c r="S35">
        <v>6</v>
      </c>
      <c r="T35">
        <v>34</v>
      </c>
    </row>
    <row r="36" spans="1:20" x14ac:dyDescent="0.2">
      <c r="A36" s="10" t="s">
        <v>173</v>
      </c>
      <c r="B36" s="11">
        <v>7</v>
      </c>
      <c r="C36" s="11" t="s">
        <v>174</v>
      </c>
      <c r="D36" s="11" t="s">
        <v>49</v>
      </c>
      <c r="E36" s="11">
        <v>10487</v>
      </c>
      <c r="F36" s="11" t="s">
        <v>50</v>
      </c>
      <c r="G36" s="11">
        <v>45</v>
      </c>
      <c r="H36" s="11">
        <v>512</v>
      </c>
      <c r="I36" s="11" t="s">
        <v>22</v>
      </c>
      <c r="J36" s="11">
        <v>1</v>
      </c>
      <c r="K36" s="11" t="s">
        <v>51</v>
      </c>
      <c r="L36" s="11" t="s">
        <v>24</v>
      </c>
      <c r="M36" s="11" t="s">
        <v>160</v>
      </c>
      <c r="N36" s="11" t="s">
        <v>161</v>
      </c>
      <c r="O36" s="11">
        <v>50</v>
      </c>
      <c r="P36" s="11">
        <v>1</v>
      </c>
      <c r="Q36" s="11" t="s">
        <v>175</v>
      </c>
      <c r="R36" s="11" t="s">
        <v>176</v>
      </c>
      <c r="S36">
        <v>6</v>
      </c>
      <c r="T36">
        <v>35</v>
      </c>
    </row>
    <row r="37" spans="1:20" x14ac:dyDescent="0.2">
      <c r="A37" s="10" t="s">
        <v>98</v>
      </c>
      <c r="B37" s="11">
        <v>10</v>
      </c>
      <c r="C37" s="11" t="s">
        <v>99</v>
      </c>
      <c r="D37" s="11" t="s">
        <v>20</v>
      </c>
      <c r="E37" s="11">
        <v>5192</v>
      </c>
      <c r="F37" s="11" t="s">
        <v>21</v>
      </c>
      <c r="G37" s="11">
        <v>35</v>
      </c>
      <c r="H37" s="11">
        <v>512</v>
      </c>
      <c r="I37" s="11" t="s">
        <v>22</v>
      </c>
      <c r="J37" s="11">
        <v>1</v>
      </c>
      <c r="K37" s="11" t="s">
        <v>23</v>
      </c>
      <c r="L37" s="11" t="s">
        <v>24</v>
      </c>
      <c r="M37" s="11" t="s">
        <v>177</v>
      </c>
      <c r="N37" s="11" t="s">
        <v>178</v>
      </c>
      <c r="O37" s="11">
        <v>50</v>
      </c>
      <c r="P37" s="11">
        <v>1</v>
      </c>
      <c r="Q37" s="11" t="s">
        <v>179</v>
      </c>
      <c r="R37" s="11" t="s">
        <v>180</v>
      </c>
      <c r="S37">
        <v>7</v>
      </c>
      <c r="T37">
        <v>36</v>
      </c>
    </row>
    <row r="38" spans="1:20" x14ac:dyDescent="0.2">
      <c r="A38" s="10" t="s">
        <v>104</v>
      </c>
      <c r="B38" s="11">
        <v>2</v>
      </c>
      <c r="C38" s="11" t="s">
        <v>105</v>
      </c>
      <c r="D38" s="11" t="s">
        <v>30</v>
      </c>
      <c r="E38" s="11">
        <v>5216</v>
      </c>
      <c r="F38" s="11" t="s">
        <v>31</v>
      </c>
      <c r="G38" s="11">
        <v>90</v>
      </c>
      <c r="H38" s="11">
        <v>512</v>
      </c>
      <c r="I38" s="11" t="s">
        <v>22</v>
      </c>
      <c r="J38" s="11">
        <v>1</v>
      </c>
      <c r="K38" s="11" t="s">
        <v>32</v>
      </c>
      <c r="L38" s="11" t="s">
        <v>24</v>
      </c>
      <c r="M38" s="11" t="s">
        <v>177</v>
      </c>
      <c r="N38" s="11" t="s">
        <v>178</v>
      </c>
      <c r="O38" s="11">
        <v>50</v>
      </c>
      <c r="P38" s="11">
        <v>1</v>
      </c>
      <c r="Q38" s="11" t="s">
        <v>181</v>
      </c>
      <c r="R38" s="11" t="s">
        <v>182</v>
      </c>
      <c r="S38">
        <v>7</v>
      </c>
      <c r="T38">
        <v>37</v>
      </c>
    </row>
    <row r="39" spans="1:20" x14ac:dyDescent="0.2">
      <c r="A39" s="10" t="s">
        <v>35</v>
      </c>
      <c r="B39" s="11">
        <v>80</v>
      </c>
      <c r="C39" s="11" t="s">
        <v>121</v>
      </c>
      <c r="D39" s="11" t="s">
        <v>37</v>
      </c>
      <c r="E39" s="11">
        <v>5467</v>
      </c>
      <c r="F39" s="11" t="s">
        <v>38</v>
      </c>
      <c r="G39" s="11">
        <v>140</v>
      </c>
      <c r="H39" s="11">
        <v>512</v>
      </c>
      <c r="I39" s="11" t="s">
        <v>22</v>
      </c>
      <c r="J39" s="11">
        <v>1</v>
      </c>
      <c r="K39" s="11" t="s">
        <v>39</v>
      </c>
      <c r="L39" s="11" t="s">
        <v>24</v>
      </c>
      <c r="M39" s="11" t="s">
        <v>177</v>
      </c>
      <c r="N39" s="11" t="s">
        <v>178</v>
      </c>
      <c r="O39" s="11">
        <v>50</v>
      </c>
      <c r="P39" s="11">
        <v>1</v>
      </c>
      <c r="Q39" s="11" t="s">
        <v>183</v>
      </c>
      <c r="R39" s="11" t="s">
        <v>184</v>
      </c>
      <c r="S39">
        <v>7</v>
      </c>
      <c r="T39">
        <v>38</v>
      </c>
    </row>
    <row r="40" spans="1:20" x14ac:dyDescent="0.2">
      <c r="A40" s="10" t="s">
        <v>18</v>
      </c>
      <c r="B40" s="11">
        <v>1</v>
      </c>
      <c r="C40" s="11" t="s">
        <v>134</v>
      </c>
      <c r="D40" s="11" t="s">
        <v>43</v>
      </c>
      <c r="E40" s="11">
        <v>848</v>
      </c>
      <c r="F40" s="11" t="s">
        <v>44</v>
      </c>
      <c r="G40" s="3"/>
      <c r="H40" s="11">
        <v>512</v>
      </c>
      <c r="I40" s="11" t="s">
        <v>22</v>
      </c>
      <c r="J40" s="11">
        <v>1</v>
      </c>
      <c r="K40" s="11" t="s">
        <v>45</v>
      </c>
      <c r="L40" s="11" t="s">
        <v>24</v>
      </c>
      <c r="M40" s="11" t="s">
        <v>177</v>
      </c>
      <c r="N40" s="11" t="s">
        <v>178</v>
      </c>
      <c r="O40" s="11">
        <v>50</v>
      </c>
      <c r="P40" s="11">
        <v>1</v>
      </c>
      <c r="Q40" s="11" t="s">
        <v>185</v>
      </c>
      <c r="R40" s="11" t="s">
        <v>186</v>
      </c>
      <c r="S40">
        <v>7</v>
      </c>
      <c r="T40">
        <v>39</v>
      </c>
    </row>
    <row r="41" spans="1:20" x14ac:dyDescent="0.2">
      <c r="A41" s="10" t="s">
        <v>18</v>
      </c>
      <c r="B41" s="11">
        <v>7</v>
      </c>
      <c r="C41" s="11" t="s">
        <v>137</v>
      </c>
      <c r="D41" s="11" t="s">
        <v>49</v>
      </c>
      <c r="E41" s="11">
        <v>5430</v>
      </c>
      <c r="F41" s="11" t="s">
        <v>50</v>
      </c>
      <c r="G41" s="3"/>
      <c r="H41" s="11">
        <v>512</v>
      </c>
      <c r="I41" s="11" t="s">
        <v>22</v>
      </c>
      <c r="J41" s="11">
        <v>1</v>
      </c>
      <c r="K41" s="11" t="s">
        <v>51</v>
      </c>
      <c r="L41" s="11" t="s">
        <v>24</v>
      </c>
      <c r="M41" s="11" t="s">
        <v>177</v>
      </c>
      <c r="N41" s="11" t="s">
        <v>178</v>
      </c>
      <c r="O41" s="11">
        <v>50</v>
      </c>
      <c r="P41" s="11">
        <v>1</v>
      </c>
      <c r="Q41" s="11" t="s">
        <v>187</v>
      </c>
      <c r="R41" s="11" t="s">
        <v>188</v>
      </c>
      <c r="S41">
        <v>7</v>
      </c>
      <c r="T41">
        <v>40</v>
      </c>
    </row>
    <row r="42" spans="1:20" x14ac:dyDescent="0.2">
      <c r="A42" s="10" t="s">
        <v>104</v>
      </c>
      <c r="B42" s="11">
        <v>10</v>
      </c>
      <c r="C42" s="11" t="s">
        <v>189</v>
      </c>
      <c r="D42" s="11" t="s">
        <v>20</v>
      </c>
      <c r="E42" s="11">
        <v>8573</v>
      </c>
      <c r="F42" s="11" t="s">
        <v>21</v>
      </c>
      <c r="G42" s="11">
        <v>90</v>
      </c>
      <c r="H42" s="11">
        <v>512</v>
      </c>
      <c r="I42" s="11" t="s">
        <v>22</v>
      </c>
      <c r="J42" s="11">
        <v>1</v>
      </c>
      <c r="K42" s="11" t="s">
        <v>23</v>
      </c>
      <c r="L42" s="11" t="s">
        <v>24</v>
      </c>
      <c r="M42" s="11" t="s">
        <v>190</v>
      </c>
      <c r="N42" s="11" t="s">
        <v>191</v>
      </c>
      <c r="O42" s="11">
        <v>50</v>
      </c>
      <c r="P42" s="11">
        <v>1</v>
      </c>
      <c r="Q42" s="11" t="s">
        <v>192</v>
      </c>
      <c r="R42" s="11" t="s">
        <v>193</v>
      </c>
      <c r="S42">
        <v>8</v>
      </c>
      <c r="T42">
        <v>41</v>
      </c>
    </row>
    <row r="43" spans="1:20" x14ac:dyDescent="0.2">
      <c r="A43" s="10" t="s">
        <v>194</v>
      </c>
      <c r="B43" s="11">
        <v>10</v>
      </c>
      <c r="C43" s="11" t="s">
        <v>195</v>
      </c>
      <c r="D43" s="11" t="s">
        <v>20</v>
      </c>
      <c r="E43" s="11">
        <v>3771</v>
      </c>
      <c r="F43" s="11" t="s">
        <v>21</v>
      </c>
      <c r="G43" s="11">
        <v>40</v>
      </c>
      <c r="H43" s="11">
        <v>512</v>
      </c>
      <c r="I43" s="11" t="s">
        <v>22</v>
      </c>
      <c r="J43" s="11">
        <v>1</v>
      </c>
      <c r="K43" s="11" t="s">
        <v>23</v>
      </c>
      <c r="L43" s="11" t="s">
        <v>24</v>
      </c>
      <c r="M43" s="11" t="s">
        <v>190</v>
      </c>
      <c r="N43" s="11" t="s">
        <v>191</v>
      </c>
      <c r="O43" s="11">
        <v>50</v>
      </c>
      <c r="P43" s="11">
        <v>1</v>
      </c>
      <c r="Q43" s="11" t="s">
        <v>196</v>
      </c>
      <c r="R43" s="11" t="s">
        <v>197</v>
      </c>
      <c r="S43">
        <v>8</v>
      </c>
      <c r="T43">
        <v>42</v>
      </c>
    </row>
    <row r="44" spans="1:20" x14ac:dyDescent="0.2">
      <c r="A44" s="10" t="s">
        <v>198</v>
      </c>
      <c r="B44" s="11">
        <v>2</v>
      </c>
      <c r="C44" s="11" t="s">
        <v>199</v>
      </c>
      <c r="D44" s="11" t="s">
        <v>30</v>
      </c>
      <c r="E44" s="11">
        <v>9405</v>
      </c>
      <c r="F44" s="11" t="s">
        <v>31</v>
      </c>
      <c r="G44" s="11">
        <v>33</v>
      </c>
      <c r="H44" s="11">
        <v>512</v>
      </c>
      <c r="I44" s="11" t="s">
        <v>22</v>
      </c>
      <c r="J44" s="11">
        <v>1</v>
      </c>
      <c r="K44" s="11" t="s">
        <v>32</v>
      </c>
      <c r="L44" s="11" t="s">
        <v>200</v>
      </c>
      <c r="M44" s="11" t="s">
        <v>190</v>
      </c>
      <c r="N44" s="11" t="s">
        <v>191</v>
      </c>
      <c r="O44" s="11">
        <v>50</v>
      </c>
      <c r="P44" s="11">
        <v>1</v>
      </c>
      <c r="Q44" s="11" t="s">
        <v>201</v>
      </c>
      <c r="R44" s="11" t="s">
        <v>202</v>
      </c>
      <c r="S44">
        <v>8</v>
      </c>
      <c r="T44">
        <v>43</v>
      </c>
    </row>
    <row r="45" spans="1:20" x14ac:dyDescent="0.2">
      <c r="A45" s="10" t="s">
        <v>203</v>
      </c>
      <c r="B45" s="11">
        <v>10</v>
      </c>
      <c r="C45" s="11" t="s">
        <v>204</v>
      </c>
      <c r="D45" s="11" t="s">
        <v>20</v>
      </c>
      <c r="E45" s="11">
        <v>12158</v>
      </c>
      <c r="F45" s="11" t="s">
        <v>21</v>
      </c>
      <c r="G45" s="11">
        <v>133</v>
      </c>
      <c r="H45" s="11">
        <v>512</v>
      </c>
      <c r="I45" s="11" t="s">
        <v>22</v>
      </c>
      <c r="J45" s="11">
        <v>1</v>
      </c>
      <c r="K45" s="11" t="s">
        <v>23</v>
      </c>
      <c r="L45" s="11" t="s">
        <v>24</v>
      </c>
      <c r="M45" s="11" t="s">
        <v>190</v>
      </c>
      <c r="N45" s="11" t="s">
        <v>191</v>
      </c>
      <c r="O45" s="11">
        <v>50</v>
      </c>
      <c r="P45" s="11">
        <v>1</v>
      </c>
      <c r="Q45" s="11" t="s">
        <v>205</v>
      </c>
      <c r="R45" s="11" t="s">
        <v>206</v>
      </c>
      <c r="S45">
        <v>8</v>
      </c>
      <c r="T45">
        <v>44</v>
      </c>
    </row>
    <row r="46" spans="1:20" x14ac:dyDescent="0.2">
      <c r="A46" s="10" t="s">
        <v>207</v>
      </c>
      <c r="B46" s="11">
        <v>2</v>
      </c>
      <c r="C46" s="11" t="s">
        <v>208</v>
      </c>
      <c r="D46" s="11" t="s">
        <v>30</v>
      </c>
      <c r="E46" s="11">
        <v>5372</v>
      </c>
      <c r="F46" s="11" t="s">
        <v>31</v>
      </c>
      <c r="G46" s="11">
        <v>18</v>
      </c>
      <c r="H46" s="11">
        <v>512</v>
      </c>
      <c r="I46" s="11" t="s">
        <v>22</v>
      </c>
      <c r="J46" s="11">
        <v>1</v>
      </c>
      <c r="K46" s="11" t="s">
        <v>32</v>
      </c>
      <c r="L46" s="11" t="s">
        <v>24</v>
      </c>
      <c r="M46" s="11" t="s">
        <v>190</v>
      </c>
      <c r="N46" s="11" t="s">
        <v>191</v>
      </c>
      <c r="O46" s="11">
        <v>50</v>
      </c>
      <c r="P46" s="11">
        <v>1</v>
      </c>
      <c r="Q46" s="11" t="s">
        <v>209</v>
      </c>
      <c r="R46" s="11" t="s">
        <v>210</v>
      </c>
      <c r="S46">
        <v>8</v>
      </c>
      <c r="T46">
        <v>45</v>
      </c>
    </row>
    <row r="47" spans="1:20" x14ac:dyDescent="0.2">
      <c r="A47" s="10" t="s">
        <v>54</v>
      </c>
      <c r="B47" s="11">
        <v>10</v>
      </c>
      <c r="C47" s="11" t="s">
        <v>211</v>
      </c>
      <c r="D47" s="11" t="s">
        <v>20</v>
      </c>
      <c r="E47" s="11">
        <v>11709</v>
      </c>
      <c r="F47" s="11" t="s">
        <v>21</v>
      </c>
      <c r="G47" s="11">
        <v>60</v>
      </c>
      <c r="H47" s="11">
        <v>512</v>
      </c>
      <c r="I47" s="11" t="s">
        <v>22</v>
      </c>
      <c r="J47" s="11">
        <v>1</v>
      </c>
      <c r="K47" s="11" t="s">
        <v>23</v>
      </c>
      <c r="L47" s="11" t="s">
        <v>200</v>
      </c>
      <c r="M47" s="11" t="s">
        <v>212</v>
      </c>
      <c r="N47" s="11" t="s">
        <v>213</v>
      </c>
      <c r="O47" s="11">
        <v>50</v>
      </c>
      <c r="P47" s="11">
        <v>1</v>
      </c>
      <c r="Q47" s="11" t="s">
        <v>214</v>
      </c>
      <c r="R47" s="11" t="s">
        <v>215</v>
      </c>
      <c r="S47">
        <v>9</v>
      </c>
      <c r="T47">
        <v>46</v>
      </c>
    </row>
    <row r="48" spans="1:20" x14ac:dyDescent="0.2">
      <c r="A48" s="10" t="s">
        <v>35</v>
      </c>
      <c r="B48" s="11">
        <v>80</v>
      </c>
      <c r="C48" s="11" t="s">
        <v>216</v>
      </c>
      <c r="D48" s="11" t="s">
        <v>37</v>
      </c>
      <c r="E48" s="11">
        <v>8975</v>
      </c>
      <c r="F48" s="11" t="s">
        <v>38</v>
      </c>
      <c r="G48" s="11">
        <v>140</v>
      </c>
      <c r="H48" s="11">
        <v>512</v>
      </c>
      <c r="I48" s="11" t="s">
        <v>22</v>
      </c>
      <c r="J48" s="11">
        <v>1</v>
      </c>
      <c r="K48" s="11" t="s">
        <v>39</v>
      </c>
      <c r="L48" s="11" t="s">
        <v>24</v>
      </c>
      <c r="M48" s="11" t="s">
        <v>212</v>
      </c>
      <c r="N48" s="11" t="s">
        <v>213</v>
      </c>
      <c r="O48" s="11">
        <v>50</v>
      </c>
      <c r="P48" s="11">
        <v>1</v>
      </c>
      <c r="Q48" s="11" t="s">
        <v>217</v>
      </c>
      <c r="R48" s="11" t="s">
        <v>218</v>
      </c>
      <c r="S48">
        <v>9</v>
      </c>
      <c r="T48">
        <v>47</v>
      </c>
    </row>
    <row r="49" spans="1:20" x14ac:dyDescent="0.2">
      <c r="A49" s="10" t="s">
        <v>219</v>
      </c>
      <c r="B49" s="11">
        <v>80</v>
      </c>
      <c r="C49" s="11" t="s">
        <v>220</v>
      </c>
      <c r="D49" s="11" t="s">
        <v>37</v>
      </c>
      <c r="E49" s="11">
        <v>1941</v>
      </c>
      <c r="F49" s="11" t="s">
        <v>38</v>
      </c>
      <c r="G49" s="11">
        <v>80</v>
      </c>
      <c r="H49" s="11">
        <v>512</v>
      </c>
      <c r="I49" s="11" t="s">
        <v>22</v>
      </c>
      <c r="J49" s="11">
        <v>1</v>
      </c>
      <c r="K49" s="11" t="s">
        <v>39</v>
      </c>
      <c r="L49" s="11" t="s">
        <v>24</v>
      </c>
      <c r="M49" s="11" t="s">
        <v>212</v>
      </c>
      <c r="N49" s="11" t="s">
        <v>213</v>
      </c>
      <c r="O49" s="11">
        <v>50</v>
      </c>
      <c r="P49" s="11">
        <v>1</v>
      </c>
      <c r="Q49" s="11" t="s">
        <v>221</v>
      </c>
      <c r="R49" s="11" t="s">
        <v>222</v>
      </c>
      <c r="S49">
        <v>9</v>
      </c>
      <c r="T49">
        <v>48</v>
      </c>
    </row>
    <row r="50" spans="1:20" x14ac:dyDescent="0.2">
      <c r="A50" s="10" t="s">
        <v>223</v>
      </c>
      <c r="B50" s="11">
        <v>2</v>
      </c>
      <c r="C50" s="11" t="s">
        <v>224</v>
      </c>
      <c r="D50" s="11" t="s">
        <v>30</v>
      </c>
      <c r="E50" s="11">
        <v>3242</v>
      </c>
      <c r="F50" s="11" t="s">
        <v>31</v>
      </c>
      <c r="G50" s="11">
        <v>13</v>
      </c>
      <c r="H50" s="11">
        <v>512</v>
      </c>
      <c r="I50" s="11" t="s">
        <v>22</v>
      </c>
      <c r="J50" s="11">
        <v>1</v>
      </c>
      <c r="K50" s="11" t="s">
        <v>32</v>
      </c>
      <c r="L50" s="11" t="s">
        <v>24</v>
      </c>
      <c r="M50" s="11" t="s">
        <v>212</v>
      </c>
      <c r="N50" s="11" t="s">
        <v>213</v>
      </c>
      <c r="O50" s="11">
        <v>50</v>
      </c>
      <c r="P50" s="11">
        <v>1</v>
      </c>
      <c r="Q50" s="11" t="s">
        <v>225</v>
      </c>
      <c r="R50" s="11" t="s">
        <v>226</v>
      </c>
      <c r="S50">
        <v>9</v>
      </c>
      <c r="T50">
        <v>49</v>
      </c>
    </row>
    <row r="51" spans="1:20" x14ac:dyDescent="0.2">
      <c r="A51" s="10" t="s">
        <v>227</v>
      </c>
      <c r="B51" s="11">
        <v>2</v>
      </c>
      <c r="C51" s="11" t="s">
        <v>228</v>
      </c>
      <c r="D51" s="11" t="s">
        <v>30</v>
      </c>
      <c r="E51" s="11">
        <v>12155</v>
      </c>
      <c r="F51" s="11" t="s">
        <v>31</v>
      </c>
      <c r="G51" s="11" t="s">
        <v>229</v>
      </c>
      <c r="H51" s="11">
        <v>512</v>
      </c>
      <c r="I51" s="11" t="s">
        <v>22</v>
      </c>
      <c r="J51" s="11">
        <v>1</v>
      </c>
      <c r="K51" s="11" t="s">
        <v>32</v>
      </c>
      <c r="L51" s="11" t="s">
        <v>24</v>
      </c>
      <c r="M51" s="11" t="s">
        <v>212</v>
      </c>
      <c r="N51" s="11" t="s">
        <v>213</v>
      </c>
      <c r="O51" s="11">
        <v>50</v>
      </c>
      <c r="P51" s="11">
        <v>1</v>
      </c>
      <c r="Q51" s="11" t="s">
        <v>230</v>
      </c>
      <c r="R51" s="11" t="s">
        <v>231</v>
      </c>
      <c r="S51">
        <v>9</v>
      </c>
      <c r="T51">
        <v>50</v>
      </c>
    </row>
    <row r="52" spans="1:20" x14ac:dyDescent="0.2">
      <c r="A52" s="10" t="s">
        <v>232</v>
      </c>
      <c r="B52" s="11">
        <v>1</v>
      </c>
      <c r="C52" s="11" t="s">
        <v>233</v>
      </c>
      <c r="D52" s="11" t="s">
        <v>43</v>
      </c>
      <c r="E52" s="11">
        <v>9025</v>
      </c>
      <c r="F52" s="11" t="s">
        <v>44</v>
      </c>
      <c r="G52" s="11">
        <v>8</v>
      </c>
      <c r="H52" s="11">
        <v>512</v>
      </c>
      <c r="I52" s="11" t="s">
        <v>22</v>
      </c>
      <c r="J52" s="11">
        <v>1</v>
      </c>
      <c r="K52" s="11" t="s">
        <v>45</v>
      </c>
      <c r="L52" s="11" t="s">
        <v>24</v>
      </c>
      <c r="M52" s="11" t="s">
        <v>234</v>
      </c>
      <c r="N52" s="11" t="s">
        <v>235</v>
      </c>
      <c r="O52" s="11">
        <v>50</v>
      </c>
      <c r="P52" s="11">
        <v>1</v>
      </c>
      <c r="Q52" s="11" t="s">
        <v>236</v>
      </c>
      <c r="R52" s="11" t="s">
        <v>237</v>
      </c>
      <c r="S52">
        <v>10</v>
      </c>
      <c r="T52">
        <v>51</v>
      </c>
    </row>
    <row r="53" spans="1:20" x14ac:dyDescent="0.2">
      <c r="A53" s="10" t="s">
        <v>238</v>
      </c>
      <c r="B53" s="11">
        <v>1</v>
      </c>
      <c r="C53" s="11" t="s">
        <v>239</v>
      </c>
      <c r="D53" s="11" t="s">
        <v>43</v>
      </c>
      <c r="E53" s="11">
        <v>11666</v>
      </c>
      <c r="F53" s="11" t="s">
        <v>44</v>
      </c>
      <c r="G53" s="11">
        <v>2</v>
      </c>
      <c r="H53" s="11">
        <v>512</v>
      </c>
      <c r="I53" s="11" t="s">
        <v>22</v>
      </c>
      <c r="J53" s="11">
        <v>1</v>
      </c>
      <c r="K53" s="11" t="s">
        <v>45</v>
      </c>
      <c r="L53" s="11" t="s">
        <v>24</v>
      </c>
      <c r="M53" s="11" t="s">
        <v>234</v>
      </c>
      <c r="N53" s="11" t="s">
        <v>235</v>
      </c>
      <c r="O53" s="11">
        <v>50</v>
      </c>
      <c r="P53" s="11">
        <v>1</v>
      </c>
      <c r="Q53" s="11" t="s">
        <v>240</v>
      </c>
      <c r="R53" s="11" t="s">
        <v>241</v>
      </c>
      <c r="S53">
        <v>10</v>
      </c>
      <c r="T53">
        <v>52</v>
      </c>
    </row>
    <row r="54" spans="1:20" x14ac:dyDescent="0.2">
      <c r="A54" s="10" t="s">
        <v>242</v>
      </c>
      <c r="B54" s="11">
        <v>7</v>
      </c>
      <c r="C54" s="11" t="s">
        <v>243</v>
      </c>
      <c r="D54" s="11" t="s">
        <v>49</v>
      </c>
      <c r="E54" s="11">
        <v>1289</v>
      </c>
      <c r="F54" s="11" t="s">
        <v>50</v>
      </c>
      <c r="G54" s="11">
        <v>7</v>
      </c>
      <c r="H54" s="11">
        <v>512</v>
      </c>
      <c r="I54" s="11" t="s">
        <v>22</v>
      </c>
      <c r="J54" s="11">
        <v>1</v>
      </c>
      <c r="K54" s="11" t="s">
        <v>51</v>
      </c>
      <c r="L54" s="11" t="s">
        <v>24</v>
      </c>
      <c r="M54" s="11" t="s">
        <v>234</v>
      </c>
      <c r="N54" s="11" t="s">
        <v>235</v>
      </c>
      <c r="O54" s="11">
        <v>50</v>
      </c>
      <c r="P54" s="11">
        <v>1</v>
      </c>
      <c r="Q54" s="11" t="s">
        <v>244</v>
      </c>
      <c r="R54" s="11" t="s">
        <v>245</v>
      </c>
      <c r="S54">
        <v>10</v>
      </c>
      <c r="T54">
        <v>53</v>
      </c>
    </row>
    <row r="55" spans="1:20" x14ac:dyDescent="0.2">
      <c r="A55" s="10" t="s">
        <v>246</v>
      </c>
      <c r="B55" s="11">
        <v>80</v>
      </c>
      <c r="C55" s="11" t="s">
        <v>247</v>
      </c>
      <c r="D55" s="11" t="s">
        <v>37</v>
      </c>
      <c r="E55" s="11">
        <v>3980</v>
      </c>
      <c r="F55" s="11" t="s">
        <v>38</v>
      </c>
      <c r="G55" s="11">
        <v>70</v>
      </c>
      <c r="H55" s="11">
        <v>512</v>
      </c>
      <c r="I55" s="11" t="s">
        <v>22</v>
      </c>
      <c r="J55" s="11">
        <v>1</v>
      </c>
      <c r="K55" s="11" t="s">
        <v>39</v>
      </c>
      <c r="L55" s="11" t="s">
        <v>24</v>
      </c>
      <c r="M55" s="11" t="s">
        <v>234</v>
      </c>
      <c r="N55" s="11" t="s">
        <v>235</v>
      </c>
      <c r="O55" s="11">
        <v>50</v>
      </c>
      <c r="P55" s="11">
        <v>1</v>
      </c>
      <c r="Q55" s="11" t="s">
        <v>248</v>
      </c>
      <c r="R55" s="11" t="s">
        <v>249</v>
      </c>
      <c r="S55">
        <v>10</v>
      </c>
      <c r="T55">
        <v>54</v>
      </c>
    </row>
    <row r="56" spans="1:20" x14ac:dyDescent="0.2">
      <c r="A56" s="10" t="s">
        <v>72</v>
      </c>
      <c r="B56" s="11">
        <v>7</v>
      </c>
      <c r="C56" s="11" t="s">
        <v>250</v>
      </c>
      <c r="D56" s="11" t="s">
        <v>49</v>
      </c>
      <c r="E56" s="11">
        <v>3395</v>
      </c>
      <c r="F56" s="11" t="s">
        <v>50</v>
      </c>
      <c r="G56" s="11">
        <v>3</v>
      </c>
      <c r="H56" s="11">
        <v>512</v>
      </c>
      <c r="I56" s="11" t="s">
        <v>22</v>
      </c>
      <c r="J56" s="11">
        <v>1</v>
      </c>
      <c r="K56" s="11" t="s">
        <v>51</v>
      </c>
      <c r="L56" s="11" t="s">
        <v>24</v>
      </c>
      <c r="M56" s="11" t="s">
        <v>234</v>
      </c>
      <c r="N56" s="11" t="s">
        <v>235</v>
      </c>
      <c r="O56" s="11">
        <v>50</v>
      </c>
      <c r="P56" s="11">
        <v>1</v>
      </c>
      <c r="Q56" s="11" t="s">
        <v>251</v>
      </c>
      <c r="R56" s="11" t="s">
        <v>252</v>
      </c>
      <c r="S56">
        <v>10</v>
      </c>
      <c r="T56">
        <v>55</v>
      </c>
    </row>
    <row r="57" spans="1:20" x14ac:dyDescent="0.2">
      <c r="A57" s="10" t="s">
        <v>253</v>
      </c>
      <c r="B57" s="11">
        <v>80</v>
      </c>
      <c r="C57" s="11" t="s">
        <v>254</v>
      </c>
      <c r="D57" s="11" t="s">
        <v>37</v>
      </c>
      <c r="E57" s="11">
        <v>5168</v>
      </c>
      <c r="F57" s="11" t="s">
        <v>38</v>
      </c>
      <c r="G57" s="11" t="s">
        <v>255</v>
      </c>
      <c r="H57" s="11">
        <v>512</v>
      </c>
      <c r="I57" s="11" t="s">
        <v>22</v>
      </c>
      <c r="J57" s="11">
        <v>1</v>
      </c>
      <c r="K57" s="11" t="s">
        <v>39</v>
      </c>
      <c r="L57" s="11" t="s">
        <v>24</v>
      </c>
      <c r="M57" s="11" t="s">
        <v>256</v>
      </c>
      <c r="N57" s="11" t="s">
        <v>257</v>
      </c>
      <c r="O57" s="11">
        <v>50</v>
      </c>
      <c r="P57" s="11">
        <v>1</v>
      </c>
      <c r="Q57" s="11" t="s">
        <v>258</v>
      </c>
      <c r="R57" s="11" t="s">
        <v>259</v>
      </c>
      <c r="S57">
        <v>11</v>
      </c>
      <c r="T57">
        <v>56</v>
      </c>
    </row>
    <row r="58" spans="1:20" x14ac:dyDescent="0.2">
      <c r="A58" s="10" t="s">
        <v>18</v>
      </c>
      <c r="B58" s="11">
        <v>1</v>
      </c>
      <c r="C58" s="11" t="s">
        <v>260</v>
      </c>
      <c r="D58" s="11" t="s">
        <v>43</v>
      </c>
      <c r="E58" s="11">
        <v>12430</v>
      </c>
      <c r="F58" s="11" t="s">
        <v>44</v>
      </c>
      <c r="G58" s="3"/>
      <c r="H58" s="11">
        <v>512</v>
      </c>
      <c r="I58" s="11" t="s">
        <v>22</v>
      </c>
      <c r="J58" s="11">
        <v>1</v>
      </c>
      <c r="K58" s="11" t="s">
        <v>45</v>
      </c>
      <c r="L58" s="11" t="s">
        <v>24</v>
      </c>
      <c r="M58" s="11" t="s">
        <v>256</v>
      </c>
      <c r="N58" s="11" t="s">
        <v>257</v>
      </c>
      <c r="O58" s="11">
        <v>50</v>
      </c>
      <c r="P58" s="11">
        <v>1</v>
      </c>
      <c r="Q58" s="11" t="s">
        <v>261</v>
      </c>
      <c r="R58" s="11" t="s">
        <v>262</v>
      </c>
      <c r="S58">
        <v>11</v>
      </c>
      <c r="T58">
        <v>57</v>
      </c>
    </row>
    <row r="59" spans="1:20" x14ac:dyDescent="0.2">
      <c r="A59" s="10" t="s">
        <v>263</v>
      </c>
      <c r="B59" s="11">
        <v>1</v>
      </c>
      <c r="C59" s="11" t="s">
        <v>264</v>
      </c>
      <c r="D59" s="11" t="s">
        <v>43</v>
      </c>
      <c r="E59" s="11">
        <v>12136</v>
      </c>
      <c r="F59" s="11" t="s">
        <v>44</v>
      </c>
      <c r="G59" s="11" t="s">
        <v>265</v>
      </c>
      <c r="H59" s="11">
        <v>512</v>
      </c>
      <c r="I59" s="11" t="s">
        <v>22</v>
      </c>
      <c r="J59" s="11">
        <v>1</v>
      </c>
      <c r="K59" s="11" t="s">
        <v>45</v>
      </c>
      <c r="L59" s="11" t="s">
        <v>24</v>
      </c>
      <c r="M59" s="11" t="s">
        <v>256</v>
      </c>
      <c r="N59" s="11" t="s">
        <v>257</v>
      </c>
      <c r="O59" s="11">
        <v>50</v>
      </c>
      <c r="P59" s="11">
        <v>1</v>
      </c>
      <c r="Q59" s="11" t="s">
        <v>266</v>
      </c>
      <c r="R59" s="11" t="s">
        <v>267</v>
      </c>
      <c r="S59">
        <v>11</v>
      </c>
      <c r="T59">
        <v>58</v>
      </c>
    </row>
    <row r="60" spans="1:20" x14ac:dyDescent="0.2">
      <c r="A60" s="10" t="s">
        <v>232</v>
      </c>
      <c r="B60" s="11">
        <v>7</v>
      </c>
      <c r="C60" s="11" t="s">
        <v>268</v>
      </c>
      <c r="D60" s="11" t="s">
        <v>49</v>
      </c>
      <c r="E60" s="11">
        <v>2173</v>
      </c>
      <c r="F60" s="11" t="s">
        <v>50</v>
      </c>
      <c r="G60" s="11">
        <v>8</v>
      </c>
      <c r="H60" s="11">
        <v>512</v>
      </c>
      <c r="I60" s="11" t="s">
        <v>22</v>
      </c>
      <c r="J60" s="11">
        <v>1</v>
      </c>
      <c r="K60" s="11" t="s">
        <v>51</v>
      </c>
      <c r="L60" s="11" t="s">
        <v>24</v>
      </c>
      <c r="M60" s="11" t="s">
        <v>256</v>
      </c>
      <c r="N60" s="11" t="s">
        <v>257</v>
      </c>
      <c r="O60" s="11">
        <v>50</v>
      </c>
      <c r="P60" s="11">
        <v>1</v>
      </c>
      <c r="Q60" s="11" t="s">
        <v>269</v>
      </c>
      <c r="R60" s="11" t="s">
        <v>270</v>
      </c>
      <c r="S60">
        <v>11</v>
      </c>
      <c r="T60">
        <v>59</v>
      </c>
    </row>
    <row r="61" spans="1:20" x14ac:dyDescent="0.2">
      <c r="A61" s="10" t="s">
        <v>271</v>
      </c>
      <c r="B61" s="11">
        <v>7</v>
      </c>
      <c r="C61" s="11" t="s">
        <v>272</v>
      </c>
      <c r="D61" s="11" t="s">
        <v>49</v>
      </c>
      <c r="E61" s="11">
        <v>12258</v>
      </c>
      <c r="F61" s="11" t="s">
        <v>50</v>
      </c>
      <c r="G61" s="11" t="s">
        <v>273</v>
      </c>
      <c r="H61" s="11">
        <v>512</v>
      </c>
      <c r="I61" s="11" t="s">
        <v>22</v>
      </c>
      <c r="J61" s="11">
        <v>1</v>
      </c>
      <c r="K61" s="11" t="s">
        <v>51</v>
      </c>
      <c r="L61" s="11" t="s">
        <v>24</v>
      </c>
      <c r="M61" s="11" t="s">
        <v>256</v>
      </c>
      <c r="N61" s="11" t="s">
        <v>257</v>
      </c>
      <c r="O61" s="11">
        <v>50</v>
      </c>
      <c r="P61" s="11">
        <v>1</v>
      </c>
      <c r="Q61" s="11" t="s">
        <v>274</v>
      </c>
      <c r="R61" s="11" t="s">
        <v>275</v>
      </c>
      <c r="S61">
        <v>11</v>
      </c>
      <c r="T61">
        <v>60</v>
      </c>
    </row>
    <row r="62" spans="1:20" x14ac:dyDescent="0.2">
      <c r="A62" s="10" t="s">
        <v>276</v>
      </c>
      <c r="B62" s="11">
        <v>10</v>
      </c>
      <c r="C62" s="11" t="s">
        <v>277</v>
      </c>
      <c r="D62" s="11" t="s">
        <v>20</v>
      </c>
      <c r="E62" s="11">
        <v>11625</v>
      </c>
      <c r="F62" s="11" t="s">
        <v>21</v>
      </c>
      <c r="G62" s="11">
        <v>0</v>
      </c>
      <c r="H62" s="11">
        <v>512</v>
      </c>
      <c r="I62" s="11" t="s">
        <v>22</v>
      </c>
      <c r="J62" s="11">
        <v>1</v>
      </c>
      <c r="K62" s="11" t="s">
        <v>23</v>
      </c>
      <c r="L62" s="11" t="s">
        <v>24</v>
      </c>
      <c r="M62" s="11" t="s">
        <v>278</v>
      </c>
      <c r="N62" s="11" t="s">
        <v>279</v>
      </c>
      <c r="O62" s="11">
        <v>50</v>
      </c>
      <c r="P62" s="11">
        <v>1</v>
      </c>
      <c r="Q62" s="11" t="s">
        <v>280</v>
      </c>
      <c r="R62" s="11" t="s">
        <v>281</v>
      </c>
      <c r="S62">
        <v>12</v>
      </c>
      <c r="T62">
        <v>61</v>
      </c>
    </row>
    <row r="63" spans="1:20" x14ac:dyDescent="0.2">
      <c r="A63" s="10" t="s">
        <v>194</v>
      </c>
      <c r="B63" s="11">
        <v>10</v>
      </c>
      <c r="C63" s="11" t="s">
        <v>282</v>
      </c>
      <c r="D63" s="11" t="s">
        <v>20</v>
      </c>
      <c r="E63" s="11">
        <v>7938</v>
      </c>
      <c r="F63" s="11" t="s">
        <v>21</v>
      </c>
      <c r="G63" s="11">
        <v>40</v>
      </c>
      <c r="H63" s="11">
        <v>512</v>
      </c>
      <c r="I63" s="11" t="s">
        <v>22</v>
      </c>
      <c r="J63" s="11">
        <v>1</v>
      </c>
      <c r="K63" s="11" t="s">
        <v>23</v>
      </c>
      <c r="L63" s="11" t="s">
        <v>200</v>
      </c>
      <c r="M63" s="11" t="s">
        <v>278</v>
      </c>
      <c r="N63" s="11" t="s">
        <v>279</v>
      </c>
      <c r="O63" s="11">
        <v>50</v>
      </c>
      <c r="P63" s="11">
        <v>1</v>
      </c>
      <c r="Q63" s="11" t="s">
        <v>283</v>
      </c>
      <c r="R63" s="11" t="s">
        <v>284</v>
      </c>
      <c r="S63">
        <v>12</v>
      </c>
      <c r="T63">
        <v>62</v>
      </c>
    </row>
    <row r="64" spans="1:20" x14ac:dyDescent="0.2">
      <c r="A64" s="10" t="s">
        <v>72</v>
      </c>
      <c r="B64" s="11">
        <v>2</v>
      </c>
      <c r="C64" s="11" t="s">
        <v>285</v>
      </c>
      <c r="D64" s="11" t="s">
        <v>30</v>
      </c>
      <c r="E64" s="11">
        <v>3889</v>
      </c>
      <c r="F64" s="11" t="s">
        <v>31</v>
      </c>
      <c r="G64" s="11">
        <v>3</v>
      </c>
      <c r="H64" s="11">
        <v>512</v>
      </c>
      <c r="I64" s="11" t="s">
        <v>22</v>
      </c>
      <c r="J64" s="11">
        <v>1</v>
      </c>
      <c r="K64" s="11" t="s">
        <v>32</v>
      </c>
      <c r="L64" s="11" t="s">
        <v>24</v>
      </c>
      <c r="M64" s="11" t="s">
        <v>278</v>
      </c>
      <c r="N64" s="11" t="s">
        <v>279</v>
      </c>
      <c r="O64" s="11">
        <v>50</v>
      </c>
      <c r="P64" s="11">
        <v>1</v>
      </c>
      <c r="Q64" s="11" t="s">
        <v>286</v>
      </c>
      <c r="R64" s="11" t="s">
        <v>287</v>
      </c>
      <c r="S64">
        <v>12</v>
      </c>
      <c r="T64">
        <v>63</v>
      </c>
    </row>
    <row r="65" spans="1:20" x14ac:dyDescent="0.2">
      <c r="A65" s="10" t="s">
        <v>151</v>
      </c>
      <c r="B65" s="11">
        <v>2</v>
      </c>
      <c r="C65" s="11" t="s">
        <v>288</v>
      </c>
      <c r="D65" s="11" t="s">
        <v>30</v>
      </c>
      <c r="E65" s="11">
        <v>4984</v>
      </c>
      <c r="F65" s="11" t="s">
        <v>31</v>
      </c>
      <c r="G65" s="11">
        <v>10</v>
      </c>
      <c r="H65" s="11">
        <v>512</v>
      </c>
      <c r="I65" s="11" t="s">
        <v>22</v>
      </c>
      <c r="J65" s="11">
        <v>1</v>
      </c>
      <c r="K65" s="11" t="s">
        <v>32</v>
      </c>
      <c r="L65" s="11" t="s">
        <v>24</v>
      </c>
      <c r="M65" s="11" t="s">
        <v>278</v>
      </c>
      <c r="N65" s="11" t="s">
        <v>279</v>
      </c>
      <c r="O65" s="11">
        <v>50</v>
      </c>
      <c r="P65" s="11">
        <v>1</v>
      </c>
      <c r="Q65" s="11" t="s">
        <v>289</v>
      </c>
      <c r="R65" s="11" t="s">
        <v>290</v>
      </c>
      <c r="S65">
        <v>12</v>
      </c>
      <c r="T65">
        <v>64</v>
      </c>
    </row>
    <row r="66" spans="1:20" x14ac:dyDescent="0.2">
      <c r="A66" s="10" t="s">
        <v>219</v>
      </c>
      <c r="B66" s="11">
        <v>80</v>
      </c>
      <c r="C66" s="11" t="s">
        <v>291</v>
      </c>
      <c r="D66" s="11" t="s">
        <v>37</v>
      </c>
      <c r="E66" s="11">
        <v>3180</v>
      </c>
      <c r="F66" s="11" t="s">
        <v>38</v>
      </c>
      <c r="G66" s="11">
        <v>80</v>
      </c>
      <c r="H66" s="11">
        <v>512</v>
      </c>
      <c r="I66" s="11" t="s">
        <v>22</v>
      </c>
      <c r="J66" s="11">
        <v>1</v>
      </c>
      <c r="K66" s="11" t="s">
        <v>39</v>
      </c>
      <c r="L66" s="11" t="s">
        <v>200</v>
      </c>
      <c r="M66" s="11" t="s">
        <v>278</v>
      </c>
      <c r="N66" s="11" t="s">
        <v>279</v>
      </c>
      <c r="O66" s="11">
        <v>50</v>
      </c>
      <c r="P66" s="11">
        <v>1</v>
      </c>
      <c r="Q66" s="11" t="s">
        <v>292</v>
      </c>
      <c r="R66" s="11" t="s">
        <v>293</v>
      </c>
      <c r="S66">
        <v>12</v>
      </c>
      <c r="T66">
        <v>65</v>
      </c>
    </row>
    <row r="67" spans="1:20" x14ac:dyDescent="0.2">
      <c r="A67" s="10" t="s">
        <v>219</v>
      </c>
      <c r="B67" s="11">
        <v>80</v>
      </c>
      <c r="C67" s="11" t="s">
        <v>294</v>
      </c>
      <c r="D67" s="11" t="s">
        <v>37</v>
      </c>
      <c r="E67" s="11">
        <v>4569</v>
      </c>
      <c r="F67" s="11" t="s">
        <v>38</v>
      </c>
      <c r="G67" s="11">
        <v>80</v>
      </c>
      <c r="H67" s="11">
        <v>512</v>
      </c>
      <c r="I67" s="11" t="s">
        <v>22</v>
      </c>
      <c r="J67" s="11">
        <v>1</v>
      </c>
      <c r="K67" s="11" t="s">
        <v>39</v>
      </c>
      <c r="L67" s="11" t="s">
        <v>200</v>
      </c>
      <c r="M67" s="11" t="s">
        <v>295</v>
      </c>
      <c r="N67" s="11" t="s">
        <v>296</v>
      </c>
      <c r="O67" s="11">
        <v>50</v>
      </c>
      <c r="P67" s="11">
        <v>1</v>
      </c>
      <c r="Q67" s="11" t="s">
        <v>297</v>
      </c>
      <c r="R67" s="11" t="s">
        <v>298</v>
      </c>
      <c r="S67">
        <v>13</v>
      </c>
      <c r="T67">
        <v>66</v>
      </c>
    </row>
    <row r="68" spans="1:20" x14ac:dyDescent="0.2">
      <c r="A68" s="10" t="s">
        <v>299</v>
      </c>
      <c r="B68" s="11">
        <v>1</v>
      </c>
      <c r="C68" s="11" t="s">
        <v>300</v>
      </c>
      <c r="D68" s="11" t="s">
        <v>43</v>
      </c>
      <c r="E68" s="11">
        <v>11582</v>
      </c>
      <c r="F68" s="11" t="s">
        <v>44</v>
      </c>
      <c r="G68" s="11">
        <v>1010</v>
      </c>
      <c r="H68" s="11">
        <v>512</v>
      </c>
      <c r="I68" s="11" t="s">
        <v>22</v>
      </c>
      <c r="J68" s="11">
        <v>1</v>
      </c>
      <c r="K68" s="11" t="s">
        <v>45</v>
      </c>
      <c r="L68" s="11" t="s">
        <v>200</v>
      </c>
      <c r="M68" s="11" t="s">
        <v>295</v>
      </c>
      <c r="N68" s="11" t="s">
        <v>296</v>
      </c>
      <c r="O68" s="11">
        <v>50</v>
      </c>
      <c r="P68" s="11">
        <v>1</v>
      </c>
      <c r="Q68" s="11" t="s">
        <v>301</v>
      </c>
      <c r="R68" s="11" t="s">
        <v>302</v>
      </c>
      <c r="S68">
        <v>13</v>
      </c>
      <c r="T68">
        <v>67</v>
      </c>
    </row>
    <row r="69" spans="1:20" x14ac:dyDescent="0.2">
      <c r="A69" s="10" t="s">
        <v>303</v>
      </c>
      <c r="B69" s="11">
        <v>1</v>
      </c>
      <c r="C69" s="11" t="s">
        <v>304</v>
      </c>
      <c r="D69" s="11" t="s">
        <v>43</v>
      </c>
      <c r="E69" s="11">
        <v>3227</v>
      </c>
      <c r="F69" s="11" t="s">
        <v>44</v>
      </c>
      <c r="G69" s="11">
        <v>1</v>
      </c>
      <c r="H69" s="11">
        <v>512</v>
      </c>
      <c r="I69" s="11" t="s">
        <v>22</v>
      </c>
      <c r="J69" s="11">
        <v>1</v>
      </c>
      <c r="K69" s="11" t="s">
        <v>45</v>
      </c>
      <c r="L69" s="11" t="s">
        <v>24</v>
      </c>
      <c r="M69" s="11" t="s">
        <v>295</v>
      </c>
      <c r="N69" s="11" t="s">
        <v>296</v>
      </c>
      <c r="O69" s="11">
        <v>50</v>
      </c>
      <c r="P69" s="11">
        <v>1</v>
      </c>
      <c r="Q69" s="11" t="s">
        <v>305</v>
      </c>
      <c r="R69" s="11" t="s">
        <v>306</v>
      </c>
      <c r="S69">
        <v>13</v>
      </c>
      <c r="T69">
        <v>68</v>
      </c>
    </row>
    <row r="70" spans="1:20" x14ac:dyDescent="0.2">
      <c r="A70" s="10" t="s">
        <v>242</v>
      </c>
      <c r="B70" s="11">
        <v>7</v>
      </c>
      <c r="C70" s="11" t="s">
        <v>307</v>
      </c>
      <c r="D70" s="11" t="s">
        <v>49</v>
      </c>
      <c r="E70" s="11">
        <v>2260</v>
      </c>
      <c r="F70" s="11" t="s">
        <v>50</v>
      </c>
      <c r="G70" s="11">
        <v>7</v>
      </c>
      <c r="H70" s="11">
        <v>512</v>
      </c>
      <c r="I70" s="11" t="s">
        <v>22</v>
      </c>
      <c r="J70" s="11">
        <v>1</v>
      </c>
      <c r="K70" s="11" t="s">
        <v>51</v>
      </c>
      <c r="L70" s="11" t="s">
        <v>24</v>
      </c>
      <c r="M70" s="11" t="s">
        <v>295</v>
      </c>
      <c r="N70" s="11" t="s">
        <v>296</v>
      </c>
      <c r="O70" s="11">
        <v>50</v>
      </c>
      <c r="P70" s="11">
        <v>1</v>
      </c>
      <c r="Q70" s="11" t="s">
        <v>308</v>
      </c>
      <c r="R70" s="11" t="s">
        <v>309</v>
      </c>
      <c r="S70">
        <v>13</v>
      </c>
      <c r="T70">
        <v>69</v>
      </c>
    </row>
    <row r="71" spans="1:20" x14ac:dyDescent="0.2">
      <c r="A71" s="10" t="s">
        <v>310</v>
      </c>
      <c r="B71" s="11">
        <v>7</v>
      </c>
      <c r="C71" s="11" t="s">
        <v>311</v>
      </c>
      <c r="D71" s="11" t="s">
        <v>49</v>
      </c>
      <c r="E71" s="11">
        <v>5793</v>
      </c>
      <c r="F71" s="11" t="s">
        <v>50</v>
      </c>
      <c r="G71" s="11">
        <v>12</v>
      </c>
      <c r="H71" s="11">
        <v>512</v>
      </c>
      <c r="I71" s="11" t="s">
        <v>22</v>
      </c>
      <c r="J71" s="11">
        <v>1</v>
      </c>
      <c r="K71" s="11" t="s">
        <v>51</v>
      </c>
      <c r="L71" s="11" t="s">
        <v>24</v>
      </c>
      <c r="M71" s="11" t="s">
        <v>295</v>
      </c>
      <c r="N71" s="11" t="s">
        <v>296</v>
      </c>
      <c r="O71" s="11">
        <v>50</v>
      </c>
      <c r="P71" s="11">
        <v>1</v>
      </c>
      <c r="Q71" s="11" t="s">
        <v>312</v>
      </c>
      <c r="R71" s="11" t="s">
        <v>313</v>
      </c>
      <c r="S71">
        <v>13</v>
      </c>
      <c r="T71">
        <v>70</v>
      </c>
    </row>
    <row r="78" spans="1:20" x14ac:dyDescent="0.2">
      <c r="M78" s="7"/>
    </row>
  </sheetData>
  <autoFilter ref="L1:S71" xr:uid="{D28C58CB-B927-344F-B0CB-9BE9F46BA158}"/>
  <pageMargins left="0.7" right="0.7" top="0.78740157499999996" bottom="0.78740157499999996"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Final_Scoring</vt:lpstr>
      <vt:lpstr>KORE</vt:lpstr>
      <vt:lpstr>HATI</vt:lpstr>
      <vt:lpstr>MABA</vt:lpstr>
      <vt:lpstr>Raw_Outputs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Tiedchen</dc:creator>
  <cp:keywords/>
  <dc:description/>
  <cp:lastModifiedBy>Konstantin Johannes Reicheneder</cp:lastModifiedBy>
  <cp:revision/>
  <dcterms:created xsi:type="dcterms:W3CDTF">2025-04-18T12:37:04Z</dcterms:created>
  <dcterms:modified xsi:type="dcterms:W3CDTF">2025-05-13T12:24:17Z</dcterms:modified>
  <cp:category/>
  <cp:contentStatus/>
</cp:coreProperties>
</file>